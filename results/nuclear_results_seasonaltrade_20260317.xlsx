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rlordan_ethz_ch/Documents/ETHZ_scientific_outreach/ESC Scientific Outreach/nuclear workshop/Final Output/06_Results/nuclear_modelingresults_17032026/spreadsheets/"/>
    </mc:Choice>
  </mc:AlternateContent>
  <xr:revisionPtr revIDLastSave="0" documentId="8_{2312115A-E198-3144-AD14-CAEEAE63E4D5}" xr6:coauthVersionLast="47" xr6:coauthVersionMax="47" xr10:uidLastSave="{00000000-0000-0000-0000-000000000000}"/>
  <bookViews>
    <workbookView xWindow="3860" yWindow="3060" windowWidth="27240" windowHeight="16440" xr2:uid="{CE4AC3FB-1CD1-5B43-A75A-F650068AFB05}"/>
  </bookViews>
  <sheets>
    <sheet name="Seasonal Electricity Trade" sheetId="1" r:id="rId1"/>
  </sheets>
  <externalReferences>
    <externalReference r:id="rId2"/>
  </externalReferences>
  <definedNames>
    <definedName name="_xlnm._FilterDatabase" localSheetId="0" hidden="1">'Seasonal Electricity Trade'!$A$1:$B$193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 a="1"/>
  <c r="E50" i="1" s="1"/>
  <c r="F50" i="1" a="1"/>
  <c r="F50" i="1" s="1"/>
  <c r="E51" i="1" a="1"/>
  <c r="E51" i="1"/>
  <c r="F51" i="1" a="1"/>
  <c r="F51" i="1" s="1"/>
  <c r="E52" i="1" a="1"/>
  <c r="E52" i="1" s="1"/>
  <c r="F52" i="1" a="1"/>
  <c r="F52" i="1" s="1"/>
  <c r="E53" i="1" a="1"/>
  <c r="E53" i="1" s="1"/>
  <c r="F53" i="1" a="1"/>
  <c r="F53" i="1" s="1"/>
  <c r="E54" i="1" a="1"/>
  <c r="E54" i="1" s="1"/>
  <c r="F54" i="1" a="1"/>
  <c r="F54" i="1" s="1"/>
  <c r="E55" i="1" a="1"/>
  <c r="E55" i="1" s="1"/>
  <c r="F55" i="1" a="1"/>
  <c r="F55" i="1" s="1"/>
  <c r="E56" i="1" a="1"/>
  <c r="E56" i="1" s="1"/>
  <c r="F56" i="1" a="1"/>
  <c r="F56" i="1" s="1"/>
  <c r="E57" i="1" a="1"/>
  <c r="E57" i="1" s="1"/>
  <c r="F57" i="1" a="1"/>
  <c r="F57" i="1" s="1"/>
  <c r="E58" i="1" a="1"/>
  <c r="E58" i="1" s="1"/>
  <c r="F58" i="1" a="1"/>
  <c r="F58" i="1"/>
  <c r="E59" i="1" a="1"/>
  <c r="E59" i="1"/>
  <c r="F59" i="1" a="1"/>
  <c r="F59" i="1"/>
  <c r="E60" i="1" a="1"/>
  <c r="E60" i="1"/>
  <c r="F60" i="1" a="1"/>
  <c r="F60" i="1"/>
  <c r="E61" i="1" a="1"/>
  <c r="E61" i="1"/>
  <c r="F61" i="1" a="1"/>
  <c r="F61" i="1"/>
  <c r="E62" i="1" a="1"/>
  <c r="E62" i="1" s="1"/>
  <c r="F62" i="1" a="1"/>
  <c r="F62" i="1" s="1"/>
  <c r="E63" i="1" a="1"/>
  <c r="E63" i="1" s="1"/>
  <c r="F63" i="1" a="1"/>
  <c r="F63" i="1" s="1"/>
  <c r="E64" i="1" a="1"/>
  <c r="E64" i="1" s="1"/>
  <c r="F64" i="1" a="1"/>
  <c r="F64" i="1" s="1"/>
  <c r="E65" i="1" a="1"/>
  <c r="E65" i="1" s="1"/>
  <c r="F65" i="1" a="1"/>
  <c r="F65" i="1" s="1"/>
  <c r="E66" i="1" a="1"/>
  <c r="E66" i="1" s="1"/>
  <c r="F66" i="1" a="1"/>
  <c r="F66" i="1" s="1"/>
  <c r="E67" i="1" a="1"/>
  <c r="E67" i="1" s="1"/>
  <c r="F67" i="1" a="1"/>
  <c r="F67" i="1" s="1"/>
  <c r="E68" i="1" a="1"/>
  <c r="E68" i="1" s="1"/>
  <c r="F68" i="1" a="1"/>
  <c r="F68" i="1" s="1"/>
  <c r="E69" i="1" a="1"/>
  <c r="E69" i="1" s="1"/>
  <c r="F69" i="1" a="1"/>
  <c r="F69" i="1" s="1"/>
  <c r="E70" i="1" a="1"/>
  <c r="E70" i="1" s="1"/>
  <c r="F70" i="1" a="1"/>
  <c r="F70" i="1" s="1"/>
  <c r="E71" i="1" a="1"/>
  <c r="E71" i="1" s="1"/>
  <c r="F71" i="1" a="1"/>
  <c r="F71" i="1" s="1"/>
  <c r="E72" i="1" a="1"/>
  <c r="E72" i="1" s="1"/>
  <c r="F72" i="1" a="1"/>
  <c r="F72" i="1" s="1"/>
  <c r="E73" i="1" a="1"/>
  <c r="E73" i="1" s="1"/>
  <c r="F73" i="1" a="1"/>
  <c r="F73" i="1" s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<sst xmlns="http://schemas.openxmlformats.org/spreadsheetml/2006/main" count="582" uniqueCount="24">
  <si>
    <t>winter</t>
  </si>
  <si>
    <t>SES-ETH</t>
  </si>
  <si>
    <t>abroad-nores-phaseout</t>
  </si>
  <si>
    <t>abroad-nores-high</t>
  </si>
  <si>
    <t>abroad-nores-medium</t>
  </si>
  <si>
    <t>abroad-nores-low</t>
  </si>
  <si>
    <t>abroad-res-phaseout</t>
  </si>
  <si>
    <t>abroad-res-high</t>
  </si>
  <si>
    <t>abroad-res-medium</t>
  </si>
  <si>
    <t>abroad-res-low</t>
  </si>
  <si>
    <t>abroad-resnuc-phaseout</t>
  </si>
  <si>
    <t>abroad-resnuc-high</t>
  </si>
  <si>
    <t>abroad-resnuc-medium</t>
  </si>
  <si>
    <t>abroad-resnuc-low</t>
  </si>
  <si>
    <t>SES</t>
  </si>
  <si>
    <t>Nexus-e</t>
  </si>
  <si>
    <t>STEM</t>
  </si>
  <si>
    <t>summer</t>
  </si>
  <si>
    <t>Electricity Exports (TWh)</t>
  </si>
  <si>
    <t>Electricity Imports (TWh)</t>
  </si>
  <si>
    <t>season</t>
  </si>
  <si>
    <t>Model</t>
  </si>
  <si>
    <t>Scenario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</si>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</sst>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thz-my.sharepoint.com/personal/rlordan_ethz_ch/Documents/ETHZ_scientific_outreach/ESC%20Scientific%20Outreach/nuclear%20workshop/Final%20Output/06_Results/nuclear_modelingresults_17032026/spreadsheets/nuclear_electricitytrade_statistcs.xlsx" TargetMode="External"/><Relationship Id="rId2" Type="http://schemas.microsoft.com/office/2019/04/relationships/externalLinkLongPath" Target="nuclear_electricitytrade_statistcs.xlsx?AC4BC7DF" TargetMode="External"/><Relationship Id="rId1" Type="http://schemas.openxmlformats.org/officeDocument/2006/relationships/externalLinkPath" Target="file:///AC4BC7DF/nuclear_electricitytrade_statist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FE data"/>
      <sheetName val="annual net imports (models)"/>
      <sheetName val="Seasonal Electricity Trade"/>
      <sheetName val="ses-monthly-trade"/>
      <sheetName val="ses-eth-monthly-trade"/>
      <sheetName val="nexus-e"/>
      <sheetName val="stem-seasonal-trade"/>
      <sheetName val="wind res"/>
      <sheetName val="nexus-e-monthly-trade"/>
    </sheetNames>
    <sheetDataSet>
      <sheetData sheetId="0"/>
      <sheetData sheetId="1"/>
      <sheetData sheetId="2"/>
      <sheetData sheetId="3">
        <row r="2">
          <cell r="L2">
            <v>5</v>
          </cell>
          <cell r="M2" t="str">
            <v>abroad-nores-low</v>
          </cell>
          <cell r="N2">
            <v>21848.079278540732</v>
          </cell>
          <cell r="O2">
            <v>87.846522982369436</v>
          </cell>
        </row>
        <row r="3">
          <cell r="L3">
            <v>5</v>
          </cell>
          <cell r="M3" t="str">
            <v>abroad-nores-medium</v>
          </cell>
          <cell r="N3">
            <v>21848.595020644087</v>
          </cell>
          <cell r="O3">
            <v>88.155583962487881</v>
          </cell>
        </row>
        <row r="4">
          <cell r="L4">
            <v>5</v>
          </cell>
          <cell r="M4" t="str">
            <v>abroad-nores-high</v>
          </cell>
          <cell r="N4">
            <v>21849.953932651471</v>
          </cell>
          <cell r="O4">
            <v>89.028221756649373</v>
          </cell>
        </row>
        <row r="5">
          <cell r="L5">
            <v>5</v>
          </cell>
          <cell r="M5" t="str">
            <v>abroad-nores-phaseout</v>
          </cell>
          <cell r="N5">
            <v>21841.373371506968</v>
          </cell>
          <cell r="O5">
            <v>90.657452742732389</v>
          </cell>
        </row>
        <row r="6">
          <cell r="L6">
            <v>5</v>
          </cell>
          <cell r="M6" t="str">
            <v>abroad-resnuc-low</v>
          </cell>
          <cell r="N6">
            <v>4566.1649028718766</v>
          </cell>
          <cell r="O6">
            <v>6709.982563820442</v>
          </cell>
        </row>
        <row r="7">
          <cell r="L7">
            <v>5</v>
          </cell>
          <cell r="M7" t="str">
            <v>abroad-resnuc-medium</v>
          </cell>
          <cell r="N7">
            <v>5541.8977255861191</v>
          </cell>
          <cell r="O7">
            <v>9003.3508207087871</v>
          </cell>
        </row>
        <row r="8">
          <cell r="L8">
            <v>5</v>
          </cell>
          <cell r="M8" t="str">
            <v>abroad-resnuc-high</v>
          </cell>
          <cell r="N8">
            <v>5523.2521868720405</v>
          </cell>
          <cell r="O8">
            <v>9026.9901149337456</v>
          </cell>
        </row>
        <row r="9">
          <cell r="L9">
            <v>5</v>
          </cell>
          <cell r="M9" t="str">
            <v>abroad-resnuc-phaseout</v>
          </cell>
          <cell r="N9">
            <v>5544.4613359618616</v>
          </cell>
          <cell r="O9">
            <v>9005.0188490152505</v>
          </cell>
        </row>
        <row r="10">
          <cell r="L10">
            <v>5</v>
          </cell>
          <cell r="M10" t="str">
            <v>abroad-res-low</v>
          </cell>
          <cell r="N10">
            <v>5809.4750919074622</v>
          </cell>
          <cell r="O10">
            <v>9094.1783407788571</v>
          </cell>
        </row>
        <row r="11">
          <cell r="L11">
            <v>5</v>
          </cell>
          <cell r="M11" t="str">
            <v>abroad-res-medium</v>
          </cell>
          <cell r="N11">
            <v>5834.5405550117721</v>
          </cell>
          <cell r="O11">
            <v>9070.6907293041149</v>
          </cell>
        </row>
        <row r="12">
          <cell r="L12">
            <v>5</v>
          </cell>
          <cell r="M12" t="str">
            <v>abroad-res-high</v>
          </cell>
          <cell r="N12">
            <v>5775.6229600647594</v>
          </cell>
          <cell r="O12">
            <v>9128.8635466404648</v>
          </cell>
        </row>
        <row r="13">
          <cell r="L13">
            <v>5</v>
          </cell>
          <cell r="M13" t="str">
            <v>abroad-res-phaseout</v>
          </cell>
          <cell r="N13">
            <v>5819.1122072404251</v>
          </cell>
          <cell r="O13">
            <v>9070.4373205084921</v>
          </cell>
        </row>
        <row r="14">
          <cell r="L14">
            <v>8</v>
          </cell>
          <cell r="M14" t="str">
            <v>abroad-nores-low</v>
          </cell>
          <cell r="N14">
            <v>5814.1472396494755</v>
          </cell>
          <cell r="O14">
            <v>9089.1371493191837</v>
          </cell>
        </row>
        <row r="15">
          <cell r="L15">
            <v>8</v>
          </cell>
          <cell r="M15" t="str">
            <v>abroad-nores-medium</v>
          </cell>
          <cell r="N15">
            <v>21844.507147639582</v>
          </cell>
          <cell r="O15">
            <v>93.388767287421459</v>
          </cell>
        </row>
        <row r="16">
          <cell r="L16">
            <v>8</v>
          </cell>
          <cell r="M16" t="str">
            <v>abroad-nores-high</v>
          </cell>
          <cell r="N16">
            <v>21848.218793375509</v>
          </cell>
          <cell r="O16">
            <v>87.927659107155847</v>
          </cell>
        </row>
        <row r="17">
          <cell r="L17">
            <v>8</v>
          </cell>
          <cell r="M17" t="str">
            <v>abroad-nores-phaseout</v>
          </cell>
          <cell r="N17">
            <v>21847.681484237371</v>
          </cell>
          <cell r="O17">
            <v>85.800050907050618</v>
          </cell>
        </row>
        <row r="18">
          <cell r="L18">
            <v>8</v>
          </cell>
          <cell r="M18" t="str">
            <v>abroad-resnuc-low</v>
          </cell>
          <cell r="N18">
            <v>21848.742925116803</v>
          </cell>
          <cell r="O18">
            <v>94.862514092051697</v>
          </cell>
        </row>
        <row r="19">
          <cell r="L19">
            <v>8</v>
          </cell>
          <cell r="M19" t="str">
            <v>abroad-resnuc-medium</v>
          </cell>
          <cell r="N19">
            <v>5515.7933833625848</v>
          </cell>
          <cell r="O19">
            <v>9031.301041402925</v>
          </cell>
        </row>
        <row r="20">
          <cell r="L20">
            <v>8</v>
          </cell>
          <cell r="M20" t="str">
            <v>abroad-resnuc-high</v>
          </cell>
          <cell r="N20">
            <v>5508.7801698707663</v>
          </cell>
          <cell r="O20">
            <v>9038.9897282887287</v>
          </cell>
        </row>
        <row r="21">
          <cell r="L21">
            <v>8</v>
          </cell>
          <cell r="M21" t="str">
            <v>abroad-resnuc-phaseout</v>
          </cell>
          <cell r="N21">
            <v>5527.2179905039156</v>
          </cell>
          <cell r="O21">
            <v>9019.2886513111189</v>
          </cell>
        </row>
        <row r="22">
          <cell r="L22">
            <v>8</v>
          </cell>
          <cell r="M22" t="str">
            <v>abroad-res-low</v>
          </cell>
          <cell r="N22">
            <v>5570.5758620906481</v>
          </cell>
          <cell r="O22">
            <v>8977.6834090726643</v>
          </cell>
        </row>
        <row r="23">
          <cell r="L23">
            <v>8</v>
          </cell>
          <cell r="M23" t="str">
            <v>abroad-res-medium</v>
          </cell>
          <cell r="N23">
            <v>5813.5302949289035</v>
          </cell>
          <cell r="O23">
            <v>9089.5196797547651</v>
          </cell>
        </row>
        <row r="24">
          <cell r="L24">
            <v>8</v>
          </cell>
          <cell r="M24" t="str">
            <v>abroad-res-high</v>
          </cell>
          <cell r="N24">
            <v>5786.1597083056749</v>
          </cell>
          <cell r="O24">
            <v>9115.6154099530631</v>
          </cell>
        </row>
        <row r="25">
          <cell r="L25">
            <v>8</v>
          </cell>
          <cell r="M25" t="str">
            <v>abroad-res-phaseout</v>
          </cell>
          <cell r="N25">
            <v>5797.6016291729493</v>
          </cell>
          <cell r="O25">
            <v>9103.8993051958914</v>
          </cell>
        </row>
      </sheetData>
      <sheetData sheetId="4">
        <row r="3">
          <cell r="F3">
            <v>7.6874700000000002</v>
          </cell>
          <cell r="G3">
            <v>-2.2689694999999999</v>
          </cell>
        </row>
        <row r="4">
          <cell r="F4">
            <v>8.2690280000000005</v>
          </cell>
          <cell r="G4">
            <v>-4.1475020000000002</v>
          </cell>
        </row>
        <row r="5">
          <cell r="F5">
            <v>8.2042450000000002</v>
          </cell>
          <cell r="G5">
            <v>-5.4016294</v>
          </cell>
        </row>
        <row r="6">
          <cell r="F6">
            <v>8.2042450000000002</v>
          </cell>
          <cell r="G6">
            <v>-5.4016294</v>
          </cell>
        </row>
        <row r="7">
          <cell r="F7">
            <v>8.2026415000000004</v>
          </cell>
          <cell r="G7">
            <v>-5.4018649999999999</v>
          </cell>
        </row>
        <row r="8">
          <cell r="F8">
            <v>8.2026415000000004</v>
          </cell>
          <cell r="G8">
            <v>-5.4018649999999999</v>
          </cell>
        </row>
        <row r="9">
          <cell r="F9">
            <v>8.2026415000000004</v>
          </cell>
          <cell r="G9">
            <v>-5.4018649999999999</v>
          </cell>
        </row>
        <row r="10">
          <cell r="F10">
            <v>8.2026415000000004</v>
          </cell>
          <cell r="G10">
            <v>-5.4018649999999999</v>
          </cell>
        </row>
        <row r="11">
          <cell r="F11">
            <v>30.579111000000001</v>
          </cell>
          <cell r="G11">
            <v>-0.10421844</v>
          </cell>
        </row>
        <row r="12">
          <cell r="F12">
            <v>30.579111000000001</v>
          </cell>
          <cell r="G12">
            <v>-0.10421844</v>
          </cell>
        </row>
        <row r="13">
          <cell r="F13">
            <v>30.579111000000001</v>
          </cell>
          <cell r="G13">
            <v>-0.10421844</v>
          </cell>
        </row>
        <row r="14">
          <cell r="F14">
            <v>30.579111000000001</v>
          </cell>
          <cell r="G14">
            <v>-0.10421844</v>
          </cell>
        </row>
        <row r="15">
          <cell r="F15">
            <v>8.1471499999999999</v>
          </cell>
          <cell r="G15">
            <v>-4.1083319999999999</v>
          </cell>
        </row>
        <row r="16">
          <cell r="F16">
            <v>8.2042450000000002</v>
          </cell>
          <cell r="G16">
            <v>-5.4016294</v>
          </cell>
        </row>
        <row r="17">
          <cell r="F17">
            <v>8.2042450000000002</v>
          </cell>
          <cell r="G17">
            <v>-5.4016294</v>
          </cell>
        </row>
        <row r="18">
          <cell r="F18">
            <v>8.2042450000000002</v>
          </cell>
          <cell r="G18">
            <v>-5.4016294</v>
          </cell>
        </row>
        <row r="19">
          <cell r="F19">
            <v>8.2026415000000004</v>
          </cell>
          <cell r="G19">
            <v>-5.4018649999999999</v>
          </cell>
        </row>
        <row r="20">
          <cell r="F20">
            <v>8.2026415000000004</v>
          </cell>
          <cell r="G20">
            <v>-5.4018649999999999</v>
          </cell>
        </row>
        <row r="21">
          <cell r="F21">
            <v>8.2026415000000004</v>
          </cell>
          <cell r="G21">
            <v>-5.4018649999999999</v>
          </cell>
        </row>
        <row r="22">
          <cell r="F22">
            <v>8.2026415000000004</v>
          </cell>
          <cell r="G22">
            <v>-5.4018649999999999</v>
          </cell>
        </row>
        <row r="23">
          <cell r="F23">
            <v>30.579111000000001</v>
          </cell>
          <cell r="G23">
            <v>-0.10421844</v>
          </cell>
        </row>
        <row r="24">
          <cell r="F24">
            <v>30.579111000000001</v>
          </cell>
          <cell r="G24">
            <v>-0.10421844</v>
          </cell>
        </row>
        <row r="25">
          <cell r="F25">
            <v>30.579111000000001</v>
          </cell>
          <cell r="G25">
            <v>-0.10421844</v>
          </cell>
        </row>
        <row r="26">
          <cell r="F26">
            <v>30.579111000000001</v>
          </cell>
          <cell r="G26">
            <v>-0.10421844</v>
          </cell>
        </row>
      </sheetData>
      <sheetData sheetId="5">
        <row r="2">
          <cell r="I2">
            <v>6.7311600704014714</v>
          </cell>
          <cell r="J2">
            <v>12.851423605918315</v>
          </cell>
        </row>
        <row r="3">
          <cell r="I3">
            <v>1.9976325571756024</v>
          </cell>
          <cell r="J3">
            <v>18.182726800296496</v>
          </cell>
        </row>
        <row r="4">
          <cell r="I4">
            <v>2.0420254672442839</v>
          </cell>
          <cell r="J4">
            <v>18.644626925081813</v>
          </cell>
        </row>
        <row r="5">
          <cell r="I5">
            <v>2.0420254672442839</v>
          </cell>
          <cell r="J5">
            <v>18.644626925081813</v>
          </cell>
        </row>
        <row r="6">
          <cell r="I6">
            <v>2.0420254672442839</v>
          </cell>
          <cell r="J6">
            <v>18.644626925081813</v>
          </cell>
        </row>
        <row r="7">
          <cell r="I7">
            <v>2.0420254672442839</v>
          </cell>
          <cell r="J7">
            <v>18.644626925081813</v>
          </cell>
        </row>
        <row r="8">
          <cell r="I8">
            <v>2.0420254672442839</v>
          </cell>
          <cell r="J8">
            <v>18.644626925081813</v>
          </cell>
        </row>
        <row r="9">
          <cell r="I9">
            <v>2.0420254672442839</v>
          </cell>
          <cell r="J9">
            <v>18.644626925081813</v>
          </cell>
        </row>
        <row r="10">
          <cell r="I10">
            <v>12.254424988353435</v>
          </cell>
          <cell r="J10">
            <v>4.9506730370527503</v>
          </cell>
        </row>
        <row r="11">
          <cell r="I11">
            <v>13.921651885968542</v>
          </cell>
          <cell r="J11">
            <v>3.3619054605444925</v>
          </cell>
        </row>
        <row r="12">
          <cell r="I12">
            <v>13.921651885968542</v>
          </cell>
          <cell r="J12">
            <v>3.3619054605444925</v>
          </cell>
        </row>
        <row r="13">
          <cell r="I13">
            <v>13.921651885968542</v>
          </cell>
          <cell r="J13">
            <v>3.3619054605444925</v>
          </cell>
        </row>
        <row r="14">
          <cell r="I14">
            <v>2.5045972835362469</v>
          </cell>
          <cell r="J14">
            <v>12.880655972247901</v>
          </cell>
        </row>
        <row r="15">
          <cell r="I15">
            <v>1.9152160313629227</v>
          </cell>
          <cell r="J15">
            <v>18.968028489306263</v>
          </cell>
        </row>
        <row r="16">
          <cell r="I16">
            <v>2.0420254672442839</v>
          </cell>
          <cell r="J16">
            <v>18.644626925081813</v>
          </cell>
        </row>
        <row r="17">
          <cell r="I17">
            <v>2.0420254672442839</v>
          </cell>
          <cell r="J17">
            <v>18.644626925081813</v>
          </cell>
        </row>
        <row r="18">
          <cell r="I18">
            <v>2.0420254672442839</v>
          </cell>
          <cell r="J18">
            <v>18.644626925081813</v>
          </cell>
        </row>
        <row r="19">
          <cell r="I19">
            <v>2.0420254672442839</v>
          </cell>
          <cell r="J19">
            <v>18.644626925081813</v>
          </cell>
        </row>
        <row r="20">
          <cell r="I20">
            <v>2.0420254672442839</v>
          </cell>
          <cell r="J20">
            <v>18.644626925081813</v>
          </cell>
        </row>
        <row r="21">
          <cell r="I21">
            <v>2.0420254672442839</v>
          </cell>
          <cell r="J21">
            <v>18.644626925081813</v>
          </cell>
        </row>
        <row r="22">
          <cell r="I22">
            <v>13.921651885968542</v>
          </cell>
          <cell r="J22">
            <v>3.3619054605444925</v>
          </cell>
        </row>
        <row r="23">
          <cell r="I23">
            <v>13.921651885968542</v>
          </cell>
          <cell r="J23">
            <v>3.3619054605444925</v>
          </cell>
        </row>
        <row r="24">
          <cell r="I24">
            <v>13.921651885968542</v>
          </cell>
          <cell r="J24">
            <v>3.3619054605444925</v>
          </cell>
        </row>
        <row r="25">
          <cell r="I25">
            <v>13.921651885968542</v>
          </cell>
          <cell r="J25">
            <v>3.3619054605444925</v>
          </cell>
        </row>
      </sheetData>
      <sheetData sheetId="6">
        <row r="3">
          <cell r="C3">
            <v>2.9050976212544017E-4</v>
          </cell>
          <cell r="E3">
            <v>3.2846716338057602</v>
          </cell>
        </row>
        <row r="4">
          <cell r="C4">
            <v>3.357395025417022E-4</v>
          </cell>
          <cell r="E4">
            <v>1.9127066331277782</v>
          </cell>
        </row>
        <row r="5">
          <cell r="C5">
            <v>0.57246808106528024</v>
          </cell>
          <cell r="E5">
            <v>1.7713808073924504</v>
          </cell>
        </row>
        <row r="6">
          <cell r="C6">
            <v>1.5382889620497855</v>
          </cell>
          <cell r="E6">
            <v>1.3308958969942133</v>
          </cell>
        </row>
        <row r="7">
          <cell r="C7">
            <v>2.531677394705005E-2</v>
          </cell>
          <cell r="E7">
            <v>1.8998529615167938</v>
          </cell>
        </row>
        <row r="8">
          <cell r="C8">
            <v>0.47208235063795034</v>
          </cell>
          <cell r="E8">
            <v>1.772825909045213</v>
          </cell>
        </row>
        <row r="9">
          <cell r="C9">
            <v>1.5077675458317099</v>
          </cell>
          <cell r="E9">
            <v>1.3181046072769791</v>
          </cell>
        </row>
        <row r="10">
          <cell r="C10">
            <v>1.5077675458317066</v>
          </cell>
          <cell r="E10">
            <v>1.3181046072769791</v>
          </cell>
        </row>
        <row r="11">
          <cell r="C11">
            <v>0.31695774343792515</v>
          </cell>
          <cell r="E11">
            <v>1.8815092991176772</v>
          </cell>
        </row>
        <row r="12">
          <cell r="C12">
            <v>1.6309195189433345</v>
          </cell>
          <cell r="E12">
            <v>1.8095095180913798</v>
          </cell>
        </row>
        <row r="13">
          <cell r="C13">
            <v>3.798096749344368</v>
          </cell>
          <cell r="E13">
            <v>1.3064509492459393</v>
          </cell>
        </row>
        <row r="14">
          <cell r="C14">
            <v>4.7415558185998652</v>
          </cell>
          <cell r="E14">
            <v>1.3064999370362236</v>
          </cell>
        </row>
        <row r="15">
          <cell r="C15">
            <v>3.1595429047654659E-4</v>
          </cell>
          <cell r="E15">
            <v>2.4272556558172886</v>
          </cell>
        </row>
        <row r="16">
          <cell r="C16">
            <v>0.45053558972360597</v>
          </cell>
          <cell r="E16">
            <v>1.8359014468095918</v>
          </cell>
        </row>
        <row r="17">
          <cell r="C17">
            <v>1.5382889620497855</v>
          </cell>
          <cell r="E17">
            <v>1.3308958969942133</v>
          </cell>
        </row>
        <row r="18">
          <cell r="C18">
            <v>1.5382889620497855</v>
          </cell>
          <cell r="E18">
            <v>1.3308958969942133</v>
          </cell>
        </row>
        <row r="19">
          <cell r="C19">
            <v>0.33527361212692697</v>
          </cell>
          <cell r="E19">
            <v>1.8464950389022374</v>
          </cell>
        </row>
        <row r="20">
          <cell r="C20">
            <v>1.5077675458317066</v>
          </cell>
          <cell r="E20">
            <v>1.3181046072769791</v>
          </cell>
        </row>
        <row r="21">
          <cell r="C21">
            <v>1.5077675458317066</v>
          </cell>
          <cell r="E21">
            <v>1.3181046072769791</v>
          </cell>
        </row>
        <row r="22">
          <cell r="C22">
            <v>1.5077675458317066</v>
          </cell>
          <cell r="E22">
            <v>1.3181046072769791</v>
          </cell>
        </row>
        <row r="23">
          <cell r="C23">
            <v>1.017691628193675</v>
          </cell>
          <cell r="E23">
            <v>1.8813683636968808</v>
          </cell>
        </row>
        <row r="24">
          <cell r="C24">
            <v>3.7899419531039129</v>
          </cell>
          <cell r="E24">
            <v>1.306290531172106</v>
          </cell>
        </row>
        <row r="25">
          <cell r="C25">
            <v>4.3317382768881165</v>
          </cell>
          <cell r="E25">
            <v>1.3063419242991727</v>
          </cell>
        </row>
        <row r="26">
          <cell r="C26">
            <v>4.7415558185998652</v>
          </cell>
          <cell r="E26">
            <v>1.3064999370362236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1D7B-BBAC-FC43-B7F7-3CE084F1E72F}">
  <dimension ref="A1:G193"/>
  <sheetViews>
    <sheetView tabSelected="1" zoomScale="107" workbookViewId="0">
      <selection activeCell="G16" sqref="G16"/>
    </sheetView>
  </sheetViews>
  <sheetFormatPr baseColWidth="10" defaultColWidth="11" defaultRowHeight="16" x14ac:dyDescent="0.2"/>
  <cols>
    <col min="1" max="1" width="8.83203125" customWidth="1"/>
    <col min="2" max="2" width="21.6640625" customWidth="1"/>
    <col min="5" max="6" width="23.1640625" customWidth="1"/>
    <col min="7" max="7" width="21.6640625" customWidth="1"/>
  </cols>
  <sheetData>
    <row r="1" spans="1:7" s="5" customFormat="1" x14ac:dyDescent="0.2">
      <c r="A1" s="5" t="s">
        <v>23</v>
      </c>
      <c r="B1" s="5" t="s">
        <v>22</v>
      </c>
      <c r="C1" s="5" t="s">
        <v>21</v>
      </c>
      <c r="D1" s="5" t="s">
        <v>20</v>
      </c>
      <c r="E1" s="6" t="s">
        <v>19</v>
      </c>
      <c r="F1" s="6" t="s">
        <v>18</v>
      </c>
      <c r="G1" s="6"/>
    </row>
    <row r="2" spans="1:7" s="5" customFormat="1" x14ac:dyDescent="0.2">
      <c r="A2" s="2">
        <v>5</v>
      </c>
      <c r="B2" t="s">
        <v>13</v>
      </c>
      <c r="C2" t="s">
        <v>16</v>
      </c>
      <c r="D2" t="s">
        <v>17</v>
      </c>
      <c r="E2" s="1">
        <f>'[1]stem-seasonal-trade'!C3</f>
        <v>2.9050976212544017E-4</v>
      </c>
      <c r="F2" s="1">
        <f>'[1]stem-seasonal-trade'!E3</f>
        <v>3.2846716338057602</v>
      </c>
      <c r="G2" s="1"/>
    </row>
    <row r="3" spans="1:7" s="5" customFormat="1" x14ac:dyDescent="0.2">
      <c r="A3" s="2">
        <v>5</v>
      </c>
      <c r="B3" t="s">
        <v>12</v>
      </c>
      <c r="C3" t="s">
        <v>16</v>
      </c>
      <c r="D3" t="s">
        <v>17</v>
      </c>
      <c r="E3" s="1">
        <f>'[1]stem-seasonal-trade'!C4</f>
        <v>3.357395025417022E-4</v>
      </c>
      <c r="F3" s="1">
        <f>'[1]stem-seasonal-trade'!E4</f>
        <v>1.9127066331277782</v>
      </c>
      <c r="G3" s="1"/>
    </row>
    <row r="4" spans="1:7" s="5" customFormat="1" x14ac:dyDescent="0.2">
      <c r="A4" s="2">
        <v>5</v>
      </c>
      <c r="B4" t="s">
        <v>11</v>
      </c>
      <c r="C4" t="s">
        <v>16</v>
      </c>
      <c r="D4" t="s">
        <v>17</v>
      </c>
      <c r="E4" s="1">
        <f>'[1]stem-seasonal-trade'!C5</f>
        <v>0.57246808106528024</v>
      </c>
      <c r="F4" s="1">
        <f>'[1]stem-seasonal-trade'!E5</f>
        <v>1.7713808073924504</v>
      </c>
      <c r="G4" s="1"/>
    </row>
    <row r="5" spans="1:7" s="5" customFormat="1" x14ac:dyDescent="0.2">
      <c r="A5" s="2">
        <v>5</v>
      </c>
      <c r="B5" t="s">
        <v>10</v>
      </c>
      <c r="C5" t="s">
        <v>16</v>
      </c>
      <c r="D5" t="s">
        <v>17</v>
      </c>
      <c r="E5" s="1">
        <f>'[1]stem-seasonal-trade'!C6</f>
        <v>1.5382889620497855</v>
      </c>
      <c r="F5" s="1">
        <f>'[1]stem-seasonal-trade'!E6</f>
        <v>1.3308958969942133</v>
      </c>
      <c r="G5" s="1"/>
    </row>
    <row r="6" spans="1:7" s="5" customFormat="1" x14ac:dyDescent="0.2">
      <c r="A6" s="2">
        <v>5</v>
      </c>
      <c r="B6" t="s">
        <v>9</v>
      </c>
      <c r="C6" t="s">
        <v>16</v>
      </c>
      <c r="D6" t="s">
        <v>17</v>
      </c>
      <c r="E6" s="1">
        <f>'[1]stem-seasonal-trade'!C7</f>
        <v>2.531677394705005E-2</v>
      </c>
      <c r="F6" s="1">
        <f>'[1]stem-seasonal-trade'!E7</f>
        <v>1.8998529615167938</v>
      </c>
      <c r="G6" s="1"/>
    </row>
    <row r="7" spans="1:7" s="5" customFormat="1" x14ac:dyDescent="0.2">
      <c r="A7" s="2">
        <v>5</v>
      </c>
      <c r="B7" t="s">
        <v>8</v>
      </c>
      <c r="C7" t="s">
        <v>16</v>
      </c>
      <c r="D7" t="s">
        <v>17</v>
      </c>
      <c r="E7" s="1">
        <f>'[1]stem-seasonal-trade'!C8</f>
        <v>0.47208235063795034</v>
      </c>
      <c r="F7" s="1">
        <f>'[1]stem-seasonal-trade'!E8</f>
        <v>1.772825909045213</v>
      </c>
      <c r="G7" s="1"/>
    </row>
    <row r="8" spans="1:7" s="5" customFormat="1" x14ac:dyDescent="0.2">
      <c r="A8" s="2">
        <v>5</v>
      </c>
      <c r="B8" t="s">
        <v>7</v>
      </c>
      <c r="C8" t="s">
        <v>16</v>
      </c>
      <c r="D8" t="s">
        <v>17</v>
      </c>
      <c r="E8" s="1">
        <f>'[1]stem-seasonal-trade'!C9</f>
        <v>1.5077675458317099</v>
      </c>
      <c r="F8" s="1">
        <f>'[1]stem-seasonal-trade'!E9</f>
        <v>1.3181046072769791</v>
      </c>
      <c r="G8" s="1"/>
    </row>
    <row r="9" spans="1:7" s="5" customFormat="1" x14ac:dyDescent="0.2">
      <c r="A9" s="2">
        <v>5</v>
      </c>
      <c r="B9" s="3" t="s">
        <v>6</v>
      </c>
      <c r="C9" t="s">
        <v>16</v>
      </c>
      <c r="D9" t="s">
        <v>17</v>
      </c>
      <c r="E9" s="1">
        <f>'[1]stem-seasonal-trade'!C10</f>
        <v>1.5077675458317066</v>
      </c>
      <c r="F9" s="1">
        <f>'[1]stem-seasonal-trade'!E10</f>
        <v>1.3181046072769791</v>
      </c>
      <c r="G9" s="1"/>
    </row>
    <row r="10" spans="1:7" s="5" customFormat="1" x14ac:dyDescent="0.2">
      <c r="A10" s="2">
        <v>5</v>
      </c>
      <c r="B10" t="s">
        <v>5</v>
      </c>
      <c r="C10" t="s">
        <v>16</v>
      </c>
      <c r="D10" t="s">
        <v>17</v>
      </c>
      <c r="E10" s="1">
        <f>'[1]stem-seasonal-trade'!C11</f>
        <v>0.31695774343792515</v>
      </c>
      <c r="F10" s="1">
        <f>'[1]stem-seasonal-trade'!E11</f>
        <v>1.8815092991176772</v>
      </c>
      <c r="G10" s="1"/>
    </row>
    <row r="11" spans="1:7" s="5" customFormat="1" x14ac:dyDescent="0.2">
      <c r="A11" s="2">
        <v>5</v>
      </c>
      <c r="B11" t="s">
        <v>4</v>
      </c>
      <c r="C11" t="s">
        <v>16</v>
      </c>
      <c r="D11" t="s">
        <v>17</v>
      </c>
      <c r="E11" s="1">
        <f>'[1]stem-seasonal-trade'!C12</f>
        <v>1.6309195189433345</v>
      </c>
      <c r="F11" s="1">
        <f>'[1]stem-seasonal-trade'!E12</f>
        <v>1.8095095180913798</v>
      </c>
      <c r="G11" s="1"/>
    </row>
    <row r="12" spans="1:7" s="5" customFormat="1" x14ac:dyDescent="0.2">
      <c r="A12" s="2">
        <v>5</v>
      </c>
      <c r="B12" t="s">
        <v>3</v>
      </c>
      <c r="C12" t="s">
        <v>16</v>
      </c>
      <c r="D12" t="s">
        <v>17</v>
      </c>
      <c r="E12" s="1">
        <f>'[1]stem-seasonal-trade'!C13</f>
        <v>3.798096749344368</v>
      </c>
      <c r="F12" s="1">
        <f>'[1]stem-seasonal-trade'!E13</f>
        <v>1.3064509492459393</v>
      </c>
      <c r="G12" s="1"/>
    </row>
    <row r="13" spans="1:7" s="5" customFormat="1" x14ac:dyDescent="0.2">
      <c r="A13" s="2">
        <v>5</v>
      </c>
      <c r="B13" t="s">
        <v>2</v>
      </c>
      <c r="C13" t="s">
        <v>16</v>
      </c>
      <c r="D13" t="s">
        <v>17</v>
      </c>
      <c r="E13" s="1">
        <f>'[1]stem-seasonal-trade'!C14</f>
        <v>4.7415558185998652</v>
      </c>
      <c r="F13" s="1">
        <f>'[1]stem-seasonal-trade'!E14</f>
        <v>1.3064999370362236</v>
      </c>
      <c r="G13" s="1"/>
    </row>
    <row r="14" spans="1:7" s="5" customFormat="1" x14ac:dyDescent="0.2">
      <c r="A14" s="2">
        <v>8</v>
      </c>
      <c r="B14" t="s">
        <v>13</v>
      </c>
      <c r="C14" t="s">
        <v>16</v>
      </c>
      <c r="D14" t="s">
        <v>17</v>
      </c>
      <c r="E14" s="1">
        <f>'[1]stem-seasonal-trade'!C15</f>
        <v>3.1595429047654659E-4</v>
      </c>
      <c r="F14" s="1">
        <f>'[1]stem-seasonal-trade'!E15</f>
        <v>2.4272556558172886</v>
      </c>
      <c r="G14" s="1"/>
    </row>
    <row r="15" spans="1:7" s="5" customFormat="1" x14ac:dyDescent="0.2">
      <c r="A15" s="2">
        <v>8</v>
      </c>
      <c r="B15" t="s">
        <v>12</v>
      </c>
      <c r="C15" t="s">
        <v>16</v>
      </c>
      <c r="D15" t="s">
        <v>17</v>
      </c>
      <c r="E15" s="1">
        <f>'[1]stem-seasonal-trade'!C16</f>
        <v>0.45053558972360597</v>
      </c>
      <c r="F15" s="1">
        <f>'[1]stem-seasonal-trade'!E16</f>
        <v>1.8359014468095918</v>
      </c>
      <c r="G15" s="1"/>
    </row>
    <row r="16" spans="1:7" s="5" customFormat="1" x14ac:dyDescent="0.2">
      <c r="A16" s="2">
        <v>8</v>
      </c>
      <c r="B16" t="s">
        <v>11</v>
      </c>
      <c r="C16" t="s">
        <v>16</v>
      </c>
      <c r="D16" t="s">
        <v>17</v>
      </c>
      <c r="E16" s="1">
        <f>'[1]stem-seasonal-trade'!C17</f>
        <v>1.5382889620497855</v>
      </c>
      <c r="F16" s="1">
        <f>'[1]stem-seasonal-trade'!E17</f>
        <v>1.3308958969942133</v>
      </c>
      <c r="G16" s="1"/>
    </row>
    <row r="17" spans="1:7" s="5" customFormat="1" x14ac:dyDescent="0.2">
      <c r="A17" s="2">
        <v>8</v>
      </c>
      <c r="B17" t="s">
        <v>10</v>
      </c>
      <c r="C17" t="s">
        <v>16</v>
      </c>
      <c r="D17" t="s">
        <v>17</v>
      </c>
      <c r="E17" s="1">
        <f>'[1]stem-seasonal-trade'!C18</f>
        <v>1.5382889620497855</v>
      </c>
      <c r="F17" s="1">
        <f>'[1]stem-seasonal-trade'!E18</f>
        <v>1.3308958969942133</v>
      </c>
      <c r="G17" s="1"/>
    </row>
    <row r="18" spans="1:7" x14ac:dyDescent="0.2">
      <c r="A18" s="2">
        <v>8</v>
      </c>
      <c r="B18" t="s">
        <v>9</v>
      </c>
      <c r="C18" t="s">
        <v>16</v>
      </c>
      <c r="D18" t="s">
        <v>17</v>
      </c>
      <c r="E18" s="1">
        <f>'[1]stem-seasonal-trade'!C19</f>
        <v>0.33527361212692697</v>
      </c>
      <c r="F18" s="1">
        <f>'[1]stem-seasonal-trade'!E19</f>
        <v>1.8464950389022374</v>
      </c>
      <c r="G18" s="1"/>
    </row>
    <row r="19" spans="1:7" x14ac:dyDescent="0.2">
      <c r="A19" s="2">
        <v>8</v>
      </c>
      <c r="B19" t="s">
        <v>8</v>
      </c>
      <c r="C19" t="s">
        <v>16</v>
      </c>
      <c r="D19" t="s">
        <v>17</v>
      </c>
      <c r="E19" s="1">
        <f>'[1]stem-seasonal-trade'!C20</f>
        <v>1.5077675458317066</v>
      </c>
      <c r="F19" s="1">
        <f>'[1]stem-seasonal-trade'!E20</f>
        <v>1.3181046072769791</v>
      </c>
      <c r="G19" s="1"/>
    </row>
    <row r="20" spans="1:7" x14ac:dyDescent="0.2">
      <c r="A20" s="2">
        <v>8</v>
      </c>
      <c r="B20" t="s">
        <v>7</v>
      </c>
      <c r="C20" t="s">
        <v>16</v>
      </c>
      <c r="D20" t="s">
        <v>17</v>
      </c>
      <c r="E20" s="1">
        <f>'[1]stem-seasonal-trade'!C21</f>
        <v>1.5077675458317066</v>
      </c>
      <c r="F20" s="1">
        <f>'[1]stem-seasonal-trade'!E21</f>
        <v>1.3181046072769791</v>
      </c>
      <c r="G20" s="1"/>
    </row>
    <row r="21" spans="1:7" x14ac:dyDescent="0.2">
      <c r="A21" s="2">
        <v>8</v>
      </c>
      <c r="B21" s="3" t="s">
        <v>6</v>
      </c>
      <c r="C21" t="s">
        <v>16</v>
      </c>
      <c r="D21" t="s">
        <v>17</v>
      </c>
      <c r="E21" s="1">
        <f>'[1]stem-seasonal-trade'!C22</f>
        <v>1.5077675458317066</v>
      </c>
      <c r="F21" s="1">
        <f>'[1]stem-seasonal-trade'!E22</f>
        <v>1.3181046072769791</v>
      </c>
      <c r="G21" s="1"/>
    </row>
    <row r="22" spans="1:7" x14ac:dyDescent="0.2">
      <c r="A22" s="2">
        <v>8</v>
      </c>
      <c r="B22" t="s">
        <v>5</v>
      </c>
      <c r="C22" t="s">
        <v>16</v>
      </c>
      <c r="D22" t="s">
        <v>17</v>
      </c>
      <c r="E22" s="1">
        <f>'[1]stem-seasonal-trade'!C23</f>
        <v>1.017691628193675</v>
      </c>
      <c r="F22" s="1">
        <f>'[1]stem-seasonal-trade'!E23</f>
        <v>1.8813683636968808</v>
      </c>
      <c r="G22" s="1"/>
    </row>
    <row r="23" spans="1:7" x14ac:dyDescent="0.2">
      <c r="A23">
        <v>8</v>
      </c>
      <c r="B23" t="s">
        <v>4</v>
      </c>
      <c r="C23" t="s">
        <v>16</v>
      </c>
      <c r="D23" t="s">
        <v>17</v>
      </c>
      <c r="E23" s="1">
        <f>'[1]stem-seasonal-trade'!C24</f>
        <v>3.7899419531039129</v>
      </c>
      <c r="F23" s="1">
        <f>'[1]stem-seasonal-trade'!E24</f>
        <v>1.306290531172106</v>
      </c>
      <c r="G23" s="1"/>
    </row>
    <row r="24" spans="1:7" x14ac:dyDescent="0.2">
      <c r="A24">
        <v>8</v>
      </c>
      <c r="B24" t="s">
        <v>3</v>
      </c>
      <c r="C24" t="s">
        <v>16</v>
      </c>
      <c r="D24" t="s">
        <v>17</v>
      </c>
      <c r="E24" s="1">
        <f>'[1]stem-seasonal-trade'!C25</f>
        <v>4.3317382768881165</v>
      </c>
      <c r="F24" s="1">
        <f>'[1]stem-seasonal-trade'!E25</f>
        <v>1.3063419242991727</v>
      </c>
      <c r="G24" s="1"/>
    </row>
    <row r="25" spans="1:7" x14ac:dyDescent="0.2">
      <c r="A25">
        <v>8</v>
      </c>
      <c r="B25" t="s">
        <v>2</v>
      </c>
      <c r="C25" t="s">
        <v>16</v>
      </c>
      <c r="D25" t="s">
        <v>17</v>
      </c>
      <c r="E25" s="1">
        <f>'[1]stem-seasonal-trade'!C26</f>
        <v>4.7415558185998652</v>
      </c>
      <c r="F25" s="1">
        <f>'[1]stem-seasonal-trade'!E26</f>
        <v>1.3064999370362236</v>
      </c>
      <c r="G25" s="1"/>
    </row>
    <row r="26" spans="1:7" x14ac:dyDescent="0.2">
      <c r="A26" s="2">
        <v>5</v>
      </c>
      <c r="B26" t="s">
        <v>13</v>
      </c>
      <c r="C26" t="s">
        <v>15</v>
      </c>
      <c r="D26" t="s">
        <v>17</v>
      </c>
      <c r="E26" s="1">
        <f>'[1]nexus-e'!I2</f>
        <v>6.7311600704014714</v>
      </c>
      <c r="F26" s="1">
        <f>'[1]nexus-e'!J2</f>
        <v>12.851423605918315</v>
      </c>
      <c r="G26" s="1"/>
    </row>
    <row r="27" spans="1:7" x14ac:dyDescent="0.2">
      <c r="A27" s="2">
        <v>5</v>
      </c>
      <c r="B27" t="s">
        <v>12</v>
      </c>
      <c r="C27" t="s">
        <v>15</v>
      </c>
      <c r="D27" t="s">
        <v>17</v>
      </c>
      <c r="E27" s="1">
        <f>'[1]nexus-e'!I3</f>
        <v>1.9976325571756024</v>
      </c>
      <c r="F27" s="1">
        <f>'[1]nexus-e'!J3</f>
        <v>18.182726800296496</v>
      </c>
      <c r="G27" s="1"/>
    </row>
    <row r="28" spans="1:7" x14ac:dyDescent="0.2">
      <c r="A28" s="2">
        <v>5</v>
      </c>
      <c r="B28" t="s">
        <v>11</v>
      </c>
      <c r="C28" t="s">
        <v>15</v>
      </c>
      <c r="D28" t="s">
        <v>17</v>
      </c>
      <c r="E28" s="1">
        <f>'[1]nexus-e'!I4</f>
        <v>2.0420254672442839</v>
      </c>
      <c r="F28" s="1">
        <f>'[1]nexus-e'!J4</f>
        <v>18.644626925081813</v>
      </c>
      <c r="G28" s="1"/>
    </row>
    <row r="29" spans="1:7" x14ac:dyDescent="0.2">
      <c r="A29" s="2">
        <v>5</v>
      </c>
      <c r="B29" t="s">
        <v>10</v>
      </c>
      <c r="C29" t="s">
        <v>15</v>
      </c>
      <c r="D29" t="s">
        <v>17</v>
      </c>
      <c r="E29" s="1">
        <f>'[1]nexus-e'!I5</f>
        <v>2.0420254672442839</v>
      </c>
      <c r="F29" s="1">
        <f>'[1]nexus-e'!J5</f>
        <v>18.644626925081813</v>
      </c>
      <c r="G29" s="1"/>
    </row>
    <row r="30" spans="1:7" x14ac:dyDescent="0.2">
      <c r="A30" s="2">
        <v>5</v>
      </c>
      <c r="B30" t="s">
        <v>9</v>
      </c>
      <c r="C30" t="s">
        <v>15</v>
      </c>
      <c r="D30" t="s">
        <v>17</v>
      </c>
      <c r="E30" s="1">
        <f>'[1]nexus-e'!I6</f>
        <v>2.0420254672442839</v>
      </c>
      <c r="F30" s="1">
        <f>'[1]nexus-e'!J6</f>
        <v>18.644626925081813</v>
      </c>
      <c r="G30" s="1"/>
    </row>
    <row r="31" spans="1:7" x14ac:dyDescent="0.2">
      <c r="A31" s="2">
        <v>5</v>
      </c>
      <c r="B31" t="s">
        <v>8</v>
      </c>
      <c r="C31" t="s">
        <v>15</v>
      </c>
      <c r="D31" t="s">
        <v>17</v>
      </c>
      <c r="E31" s="1">
        <f>'[1]nexus-e'!I7</f>
        <v>2.0420254672442839</v>
      </c>
      <c r="F31" s="1">
        <f>'[1]nexus-e'!J7</f>
        <v>18.644626925081813</v>
      </c>
      <c r="G31" s="1"/>
    </row>
    <row r="32" spans="1:7" x14ac:dyDescent="0.2">
      <c r="A32" s="2">
        <v>5</v>
      </c>
      <c r="B32" t="s">
        <v>7</v>
      </c>
      <c r="C32" t="s">
        <v>15</v>
      </c>
      <c r="D32" t="s">
        <v>17</v>
      </c>
      <c r="E32" s="1">
        <f>'[1]nexus-e'!I8</f>
        <v>2.0420254672442839</v>
      </c>
      <c r="F32" s="1">
        <f>'[1]nexus-e'!J8</f>
        <v>18.644626925081813</v>
      </c>
      <c r="G32" s="1"/>
    </row>
    <row r="33" spans="1:7" x14ac:dyDescent="0.2">
      <c r="A33" s="2">
        <v>5</v>
      </c>
      <c r="B33" s="3" t="s">
        <v>6</v>
      </c>
      <c r="C33" t="s">
        <v>15</v>
      </c>
      <c r="D33" t="s">
        <v>17</v>
      </c>
      <c r="E33" s="1">
        <f>'[1]nexus-e'!I9</f>
        <v>2.0420254672442839</v>
      </c>
      <c r="F33" s="1">
        <f>'[1]nexus-e'!J9</f>
        <v>18.644626925081813</v>
      </c>
      <c r="G33" s="1"/>
    </row>
    <row r="34" spans="1:7" x14ac:dyDescent="0.2">
      <c r="A34" s="2">
        <v>5</v>
      </c>
      <c r="B34" t="s">
        <v>5</v>
      </c>
      <c r="C34" t="s">
        <v>15</v>
      </c>
      <c r="D34" t="s">
        <v>17</v>
      </c>
      <c r="E34" s="1">
        <f>'[1]nexus-e'!I10</f>
        <v>12.254424988353435</v>
      </c>
      <c r="F34" s="1">
        <f>'[1]nexus-e'!J10</f>
        <v>4.9506730370527503</v>
      </c>
      <c r="G34" s="1"/>
    </row>
    <row r="35" spans="1:7" x14ac:dyDescent="0.2">
      <c r="A35" s="2">
        <v>5</v>
      </c>
      <c r="B35" t="s">
        <v>4</v>
      </c>
      <c r="C35" t="s">
        <v>15</v>
      </c>
      <c r="D35" t="s">
        <v>17</v>
      </c>
      <c r="E35" s="1">
        <f>'[1]nexus-e'!I11</f>
        <v>13.921651885968542</v>
      </c>
      <c r="F35" s="1">
        <f>'[1]nexus-e'!J11</f>
        <v>3.3619054605444925</v>
      </c>
      <c r="G35" s="1"/>
    </row>
    <row r="36" spans="1:7" x14ac:dyDescent="0.2">
      <c r="A36" s="2">
        <v>5</v>
      </c>
      <c r="B36" t="s">
        <v>3</v>
      </c>
      <c r="C36" t="s">
        <v>15</v>
      </c>
      <c r="D36" t="s">
        <v>17</v>
      </c>
      <c r="E36" s="1">
        <f>'[1]nexus-e'!I12</f>
        <v>13.921651885968542</v>
      </c>
      <c r="F36" s="1">
        <f>'[1]nexus-e'!J12</f>
        <v>3.3619054605444925</v>
      </c>
      <c r="G36" s="1"/>
    </row>
    <row r="37" spans="1:7" x14ac:dyDescent="0.2">
      <c r="A37" s="2">
        <v>5</v>
      </c>
      <c r="B37" t="s">
        <v>2</v>
      </c>
      <c r="C37" t="s">
        <v>15</v>
      </c>
      <c r="D37" t="s">
        <v>17</v>
      </c>
      <c r="E37" s="1">
        <f>'[1]nexus-e'!I13</f>
        <v>13.921651885968542</v>
      </c>
      <c r="F37" s="1">
        <f>'[1]nexus-e'!J13</f>
        <v>3.3619054605444925</v>
      </c>
      <c r="G37" s="1"/>
    </row>
    <row r="38" spans="1:7" x14ac:dyDescent="0.2">
      <c r="A38" s="2">
        <v>8</v>
      </c>
      <c r="B38" t="s">
        <v>13</v>
      </c>
      <c r="C38" t="s">
        <v>15</v>
      </c>
      <c r="D38" t="s">
        <v>17</v>
      </c>
      <c r="E38" s="1">
        <f>'[1]nexus-e'!I14</f>
        <v>2.5045972835362469</v>
      </c>
      <c r="F38" s="1">
        <f>'[1]nexus-e'!J14</f>
        <v>12.880655972247901</v>
      </c>
      <c r="G38" s="1"/>
    </row>
    <row r="39" spans="1:7" x14ac:dyDescent="0.2">
      <c r="A39" s="2">
        <v>8</v>
      </c>
      <c r="B39" t="s">
        <v>12</v>
      </c>
      <c r="C39" t="s">
        <v>15</v>
      </c>
      <c r="D39" t="s">
        <v>17</v>
      </c>
      <c r="E39" s="1">
        <f>'[1]nexus-e'!I15</f>
        <v>1.9152160313629227</v>
      </c>
      <c r="F39" s="1">
        <f>'[1]nexus-e'!J15</f>
        <v>18.968028489306263</v>
      </c>
      <c r="G39" s="1"/>
    </row>
    <row r="40" spans="1:7" x14ac:dyDescent="0.2">
      <c r="A40" s="2">
        <v>8</v>
      </c>
      <c r="B40" t="s">
        <v>11</v>
      </c>
      <c r="C40" t="s">
        <v>15</v>
      </c>
      <c r="D40" t="s">
        <v>17</v>
      </c>
      <c r="E40" s="1">
        <f>'[1]nexus-e'!I16</f>
        <v>2.0420254672442839</v>
      </c>
      <c r="F40" s="1">
        <f>'[1]nexus-e'!J16</f>
        <v>18.644626925081813</v>
      </c>
      <c r="G40" s="1"/>
    </row>
    <row r="41" spans="1:7" x14ac:dyDescent="0.2">
      <c r="A41" s="2">
        <v>8</v>
      </c>
      <c r="B41" t="s">
        <v>10</v>
      </c>
      <c r="C41" t="s">
        <v>15</v>
      </c>
      <c r="D41" t="s">
        <v>17</v>
      </c>
      <c r="E41" s="1">
        <f>'[1]nexus-e'!I17</f>
        <v>2.0420254672442839</v>
      </c>
      <c r="F41" s="1">
        <f>'[1]nexus-e'!J17</f>
        <v>18.644626925081813</v>
      </c>
      <c r="G41" s="1"/>
    </row>
    <row r="42" spans="1:7" x14ac:dyDescent="0.2">
      <c r="A42" s="2">
        <v>8</v>
      </c>
      <c r="B42" t="s">
        <v>9</v>
      </c>
      <c r="C42" t="s">
        <v>15</v>
      </c>
      <c r="D42" t="s">
        <v>17</v>
      </c>
      <c r="E42" s="1">
        <f>'[1]nexus-e'!I18</f>
        <v>2.0420254672442839</v>
      </c>
      <c r="F42" s="1">
        <f>'[1]nexus-e'!J18</f>
        <v>18.644626925081813</v>
      </c>
      <c r="G42" s="1"/>
    </row>
    <row r="43" spans="1:7" x14ac:dyDescent="0.2">
      <c r="A43" s="2">
        <v>8</v>
      </c>
      <c r="B43" t="s">
        <v>8</v>
      </c>
      <c r="C43" t="s">
        <v>15</v>
      </c>
      <c r="D43" t="s">
        <v>17</v>
      </c>
      <c r="E43" s="1">
        <f>'[1]nexus-e'!I19</f>
        <v>2.0420254672442839</v>
      </c>
      <c r="F43" s="1">
        <f>'[1]nexus-e'!J19</f>
        <v>18.644626925081813</v>
      </c>
      <c r="G43" s="1"/>
    </row>
    <row r="44" spans="1:7" x14ac:dyDescent="0.2">
      <c r="A44" s="2">
        <v>8</v>
      </c>
      <c r="B44" t="s">
        <v>7</v>
      </c>
      <c r="C44" t="s">
        <v>15</v>
      </c>
      <c r="D44" t="s">
        <v>17</v>
      </c>
      <c r="E44" s="1">
        <f>'[1]nexus-e'!I20</f>
        <v>2.0420254672442839</v>
      </c>
      <c r="F44" s="1">
        <f>'[1]nexus-e'!J20</f>
        <v>18.644626925081813</v>
      </c>
      <c r="G44" s="1"/>
    </row>
    <row r="45" spans="1:7" x14ac:dyDescent="0.2">
      <c r="A45" s="2">
        <v>8</v>
      </c>
      <c r="B45" s="3" t="s">
        <v>6</v>
      </c>
      <c r="C45" t="s">
        <v>15</v>
      </c>
      <c r="D45" t="s">
        <v>17</v>
      </c>
      <c r="E45" s="1">
        <f>'[1]nexus-e'!I21</f>
        <v>2.0420254672442839</v>
      </c>
      <c r="F45" s="1">
        <f>'[1]nexus-e'!J21</f>
        <v>18.644626925081813</v>
      </c>
      <c r="G45" s="1"/>
    </row>
    <row r="46" spans="1:7" x14ac:dyDescent="0.2">
      <c r="A46" s="2">
        <v>8</v>
      </c>
      <c r="B46" t="s">
        <v>5</v>
      </c>
      <c r="C46" t="s">
        <v>15</v>
      </c>
      <c r="D46" t="s">
        <v>17</v>
      </c>
      <c r="E46" s="1">
        <f>'[1]nexus-e'!I22</f>
        <v>13.921651885968542</v>
      </c>
      <c r="F46" s="1">
        <f>'[1]nexus-e'!J22</f>
        <v>3.3619054605444925</v>
      </c>
      <c r="G46" s="1"/>
    </row>
    <row r="47" spans="1:7" x14ac:dyDescent="0.2">
      <c r="A47">
        <v>8</v>
      </c>
      <c r="B47" t="s">
        <v>4</v>
      </c>
      <c r="C47" t="s">
        <v>15</v>
      </c>
      <c r="D47" t="s">
        <v>17</v>
      </c>
      <c r="E47" s="1">
        <f>'[1]nexus-e'!I23</f>
        <v>13.921651885968542</v>
      </c>
      <c r="F47" s="1">
        <f>'[1]nexus-e'!J23</f>
        <v>3.3619054605444925</v>
      </c>
      <c r="G47" s="1"/>
    </row>
    <row r="48" spans="1:7" x14ac:dyDescent="0.2">
      <c r="A48">
        <v>8</v>
      </c>
      <c r="B48" t="s">
        <v>3</v>
      </c>
      <c r="C48" t="s">
        <v>15</v>
      </c>
      <c r="D48" t="s">
        <v>17</v>
      </c>
      <c r="E48" s="1">
        <f>'[1]nexus-e'!I24</f>
        <v>13.921651885968542</v>
      </c>
      <c r="F48" s="1">
        <f>'[1]nexus-e'!J24</f>
        <v>3.3619054605444925</v>
      </c>
      <c r="G48" s="1"/>
    </row>
    <row r="49" spans="1:7" x14ac:dyDescent="0.2">
      <c r="A49">
        <v>8</v>
      </c>
      <c r="B49" t="s">
        <v>2</v>
      </c>
      <c r="C49" t="s">
        <v>15</v>
      </c>
      <c r="D49" t="s">
        <v>17</v>
      </c>
      <c r="E49" s="1">
        <f>'[1]nexus-e'!I25</f>
        <v>13.921651885968542</v>
      </c>
      <c r="F49" s="1">
        <f>'[1]nexus-e'!J25</f>
        <v>3.3619054605444925</v>
      </c>
      <c r="G49" s="1"/>
    </row>
    <row r="50" spans="1:7" x14ac:dyDescent="0.2">
      <c r="A50" s="2">
        <v>5</v>
      </c>
      <c r="B50" t="s">
        <v>13</v>
      </c>
      <c r="C50" t="s">
        <v>14</v>
      </c>
      <c r="D50" t="s">
        <v>17</v>
      </c>
      <c r="E50" s="4" cm="1">
        <f t="array" ref="E50">INDEX('[1]ses-monthly-trade'!N$2:N$25,
       MATCH(1,
             (B50='[1]ses-monthly-trade'!M$2:M$25) *
             ('Seasonal Electricity Trade'!A50='[1]ses-monthly-trade'!L$2:L$25),
       0))</f>
        <v>4566.1649028718766</v>
      </c>
      <c r="F50" s="4" cm="1">
        <f t="array" ref="F50">INDEX('[1]ses-monthly-trade'!O$2:O$25,
       MATCH(1,
             (B50='[1]ses-monthly-trade'!M$2:M$25) *
             ('Seasonal Electricity Trade'!A50='[1]ses-monthly-trade'!L$2:L$25),
       0))</f>
        <v>6709.982563820442</v>
      </c>
      <c r="G50" s="4"/>
    </row>
    <row r="51" spans="1:7" x14ac:dyDescent="0.2">
      <c r="A51" s="2">
        <v>5</v>
      </c>
      <c r="B51" t="s">
        <v>12</v>
      </c>
      <c r="C51" t="s">
        <v>14</v>
      </c>
      <c r="D51" t="s">
        <v>17</v>
      </c>
      <c r="E51" s="4" cm="1">
        <f t="array" ref="E51">INDEX('[1]ses-monthly-trade'!N$2:N$25,
       MATCH(1,
             (B51='[1]ses-monthly-trade'!M$2:M$25) *
             ('Seasonal Electricity Trade'!A51='[1]ses-monthly-trade'!L$2:L$25),
       0))</f>
        <v>5541.8977255861191</v>
      </c>
      <c r="F51" s="4" cm="1">
        <f t="array" ref="F51">INDEX('[1]ses-monthly-trade'!O$2:O$25,
       MATCH(1,
             (B51='[1]ses-monthly-trade'!M$2:M$25) *
             ('Seasonal Electricity Trade'!A51='[1]ses-monthly-trade'!L$2:L$25),
       0))</f>
        <v>9003.3508207087871</v>
      </c>
      <c r="G51" s="4"/>
    </row>
    <row r="52" spans="1:7" x14ac:dyDescent="0.2">
      <c r="A52" s="2">
        <v>5</v>
      </c>
      <c r="B52" t="s">
        <v>11</v>
      </c>
      <c r="C52" t="s">
        <v>14</v>
      </c>
      <c r="D52" t="s">
        <v>17</v>
      </c>
      <c r="E52" s="4" cm="1">
        <f t="array" ref="E52">INDEX('[1]ses-monthly-trade'!N$2:N$25,
       MATCH(1,
             (B52='[1]ses-monthly-trade'!M$2:M$25) *
             ('Seasonal Electricity Trade'!A52='[1]ses-monthly-trade'!L$2:L$25),
       0))</f>
        <v>5523.2521868720405</v>
      </c>
      <c r="F52" s="4" cm="1">
        <f t="array" ref="F52">INDEX('[1]ses-monthly-trade'!O$2:O$25,
       MATCH(1,
             (B52='[1]ses-monthly-trade'!M$2:M$25) *
             ('Seasonal Electricity Trade'!A52='[1]ses-monthly-trade'!L$2:L$25),
       0))</f>
        <v>9026.9901149337456</v>
      </c>
      <c r="G52" s="4"/>
    </row>
    <row r="53" spans="1:7" x14ac:dyDescent="0.2">
      <c r="A53" s="2">
        <v>5</v>
      </c>
      <c r="B53" t="s">
        <v>10</v>
      </c>
      <c r="C53" t="s">
        <v>14</v>
      </c>
      <c r="D53" t="s">
        <v>17</v>
      </c>
      <c r="E53" s="4" cm="1">
        <f t="array" ref="E53">INDEX('[1]ses-monthly-trade'!N$2:N$25,
       MATCH(1,
             (B53='[1]ses-monthly-trade'!M$2:M$25) *
             ('Seasonal Electricity Trade'!A53='[1]ses-monthly-trade'!L$2:L$25),
       0))</f>
        <v>5544.4613359618616</v>
      </c>
      <c r="F53" s="4" cm="1">
        <f t="array" ref="F53">INDEX('[1]ses-monthly-trade'!O$2:O$25,
       MATCH(1,
             (B53='[1]ses-monthly-trade'!M$2:M$25) *
             ('Seasonal Electricity Trade'!A53='[1]ses-monthly-trade'!L$2:L$25),
       0))</f>
        <v>9005.0188490152505</v>
      </c>
      <c r="G53" s="4"/>
    </row>
    <row r="54" spans="1:7" x14ac:dyDescent="0.2">
      <c r="A54" s="2">
        <v>5</v>
      </c>
      <c r="B54" t="s">
        <v>9</v>
      </c>
      <c r="C54" t="s">
        <v>14</v>
      </c>
      <c r="D54" t="s">
        <v>17</v>
      </c>
      <c r="E54" s="4" cm="1">
        <f t="array" ref="E54">INDEX('[1]ses-monthly-trade'!N$2:N$25,
       MATCH(1,
             (B54='[1]ses-monthly-trade'!M$2:M$25) *
             ('Seasonal Electricity Trade'!A54='[1]ses-monthly-trade'!L$2:L$25),
       0))</f>
        <v>5809.4750919074622</v>
      </c>
      <c r="F54" s="4" cm="1">
        <f t="array" ref="F54">INDEX('[1]ses-monthly-trade'!O$2:O$25,
       MATCH(1,
             (B54='[1]ses-monthly-trade'!M$2:M$25) *
             ('Seasonal Electricity Trade'!A54='[1]ses-monthly-trade'!L$2:L$25),
       0))</f>
        <v>9094.1783407788571</v>
      </c>
      <c r="G54" s="4"/>
    </row>
    <row r="55" spans="1:7" x14ac:dyDescent="0.2">
      <c r="A55" s="2">
        <v>5</v>
      </c>
      <c r="B55" t="s">
        <v>8</v>
      </c>
      <c r="C55" t="s">
        <v>14</v>
      </c>
      <c r="D55" t="s">
        <v>17</v>
      </c>
      <c r="E55" s="4" cm="1">
        <f t="array" ref="E55">INDEX('[1]ses-monthly-trade'!N$2:N$25,
       MATCH(1,
             (B55='[1]ses-monthly-trade'!M$2:M$25) *
             ('Seasonal Electricity Trade'!A55='[1]ses-monthly-trade'!L$2:L$25),
       0))</f>
        <v>5834.5405550117721</v>
      </c>
      <c r="F55" s="4" cm="1">
        <f t="array" ref="F55">INDEX('[1]ses-monthly-trade'!O$2:O$25,
       MATCH(1,
             (B55='[1]ses-monthly-trade'!M$2:M$25) *
             ('Seasonal Electricity Trade'!A55='[1]ses-monthly-trade'!L$2:L$25),
       0))</f>
        <v>9070.6907293041149</v>
      </c>
      <c r="G55" s="4"/>
    </row>
    <row r="56" spans="1:7" x14ac:dyDescent="0.2">
      <c r="A56" s="2">
        <v>5</v>
      </c>
      <c r="B56" t="s">
        <v>7</v>
      </c>
      <c r="C56" t="s">
        <v>14</v>
      </c>
      <c r="D56" t="s">
        <v>17</v>
      </c>
      <c r="E56" s="4" cm="1">
        <f t="array" ref="E56">INDEX('[1]ses-monthly-trade'!N$2:N$25,
       MATCH(1,
             (B56='[1]ses-monthly-trade'!M$2:M$25) *
             ('Seasonal Electricity Trade'!A56='[1]ses-monthly-trade'!L$2:L$25),
       0))</f>
        <v>5775.6229600647594</v>
      </c>
      <c r="F56" s="4" cm="1">
        <f t="array" ref="F56">INDEX('[1]ses-monthly-trade'!O$2:O$25,
       MATCH(1,
             (B56='[1]ses-monthly-trade'!M$2:M$25) *
             ('Seasonal Electricity Trade'!A56='[1]ses-monthly-trade'!L$2:L$25),
       0))</f>
        <v>9128.8635466404648</v>
      </c>
      <c r="G56" s="4"/>
    </row>
    <row r="57" spans="1:7" x14ac:dyDescent="0.2">
      <c r="A57" s="2">
        <v>5</v>
      </c>
      <c r="B57" s="3" t="s">
        <v>6</v>
      </c>
      <c r="C57" t="s">
        <v>14</v>
      </c>
      <c r="D57" t="s">
        <v>17</v>
      </c>
      <c r="E57" s="4" cm="1">
        <f t="array" ref="E57">INDEX('[1]ses-monthly-trade'!N$2:N$25,
       MATCH(1,
             (B57='[1]ses-monthly-trade'!M$2:M$25) *
             ('Seasonal Electricity Trade'!A57='[1]ses-monthly-trade'!L$2:L$25),
       0))</f>
        <v>5819.1122072404251</v>
      </c>
      <c r="F57" s="4" cm="1">
        <f t="array" ref="F57">INDEX('[1]ses-monthly-trade'!O$2:O$25,
       MATCH(1,
             (B57='[1]ses-monthly-trade'!M$2:M$25) *
             ('Seasonal Electricity Trade'!A57='[1]ses-monthly-trade'!L$2:L$25),
       0))</f>
        <v>9070.4373205084921</v>
      </c>
      <c r="G57" s="4"/>
    </row>
    <row r="58" spans="1:7" x14ac:dyDescent="0.2">
      <c r="A58" s="2">
        <v>5</v>
      </c>
      <c r="B58" t="s">
        <v>5</v>
      </c>
      <c r="C58" t="s">
        <v>14</v>
      </c>
      <c r="D58" t="s">
        <v>17</v>
      </c>
      <c r="E58" s="4" cm="1">
        <f t="array" ref="E58">INDEX('[1]ses-monthly-trade'!N$2:N$25,
       MATCH(1,
             (B58='[1]ses-monthly-trade'!M$2:M$25) *
             ('Seasonal Electricity Trade'!A58='[1]ses-monthly-trade'!L$2:L$25),
       0))</f>
        <v>21848.079278540732</v>
      </c>
      <c r="F58" s="4" cm="1">
        <f t="array" ref="F58">INDEX('[1]ses-monthly-trade'!O$2:O$25,
       MATCH(1,
             (B58='[1]ses-monthly-trade'!M$2:M$25) *
             ('Seasonal Electricity Trade'!A58='[1]ses-monthly-trade'!L$2:L$25),
       0))</f>
        <v>87.846522982369436</v>
      </c>
      <c r="G58" s="4"/>
    </row>
    <row r="59" spans="1:7" x14ac:dyDescent="0.2">
      <c r="A59" s="2">
        <v>5</v>
      </c>
      <c r="B59" t="s">
        <v>4</v>
      </c>
      <c r="C59" t="s">
        <v>14</v>
      </c>
      <c r="D59" t="s">
        <v>17</v>
      </c>
      <c r="E59" s="4" cm="1">
        <f t="array" ref="E59">INDEX('[1]ses-monthly-trade'!N$2:N$25,
       MATCH(1,
             (B59='[1]ses-monthly-trade'!M$2:M$25) *
             ('Seasonal Electricity Trade'!A59='[1]ses-monthly-trade'!L$2:L$25),
       0))</f>
        <v>21848.595020644087</v>
      </c>
      <c r="F59" s="4" cm="1">
        <f t="array" ref="F59">INDEX('[1]ses-monthly-trade'!O$2:O$25,
       MATCH(1,
             (B59='[1]ses-monthly-trade'!M$2:M$25) *
             ('Seasonal Electricity Trade'!A59='[1]ses-monthly-trade'!L$2:L$25),
       0))</f>
        <v>88.155583962487881</v>
      </c>
      <c r="G59" s="4"/>
    </row>
    <row r="60" spans="1:7" x14ac:dyDescent="0.2">
      <c r="A60" s="2">
        <v>5</v>
      </c>
      <c r="B60" t="s">
        <v>3</v>
      </c>
      <c r="C60" t="s">
        <v>14</v>
      </c>
      <c r="D60" t="s">
        <v>17</v>
      </c>
      <c r="E60" s="4" cm="1">
        <f t="array" ref="E60">INDEX('[1]ses-monthly-trade'!N$2:N$25,
       MATCH(1,
             (B60='[1]ses-monthly-trade'!M$2:M$25) *
             ('Seasonal Electricity Trade'!A60='[1]ses-monthly-trade'!L$2:L$25),
       0))</f>
        <v>21849.953932651471</v>
      </c>
      <c r="F60" s="4" cm="1">
        <f t="array" ref="F60">INDEX('[1]ses-monthly-trade'!O$2:O$25,
       MATCH(1,
             (B60='[1]ses-monthly-trade'!M$2:M$25) *
             ('Seasonal Electricity Trade'!A60='[1]ses-monthly-trade'!L$2:L$25),
       0))</f>
        <v>89.028221756649373</v>
      </c>
      <c r="G60" s="4"/>
    </row>
    <row r="61" spans="1:7" x14ac:dyDescent="0.2">
      <c r="A61" s="2">
        <v>5</v>
      </c>
      <c r="B61" t="s">
        <v>2</v>
      </c>
      <c r="C61" t="s">
        <v>14</v>
      </c>
      <c r="D61" t="s">
        <v>17</v>
      </c>
      <c r="E61" s="4" cm="1">
        <f t="array" ref="E61">INDEX('[1]ses-monthly-trade'!N$2:N$25,
       MATCH(1,
             (B61='[1]ses-monthly-trade'!M$2:M$25) *
             ('Seasonal Electricity Trade'!A61='[1]ses-monthly-trade'!L$2:L$25),
       0))</f>
        <v>21841.373371506968</v>
      </c>
      <c r="F61" s="4" cm="1">
        <f t="array" ref="F61">INDEX('[1]ses-monthly-trade'!O$2:O$25,
       MATCH(1,
             (B61='[1]ses-monthly-trade'!M$2:M$25) *
             ('Seasonal Electricity Trade'!A61='[1]ses-monthly-trade'!L$2:L$25),
       0))</f>
        <v>90.657452742732389</v>
      </c>
      <c r="G61" s="4"/>
    </row>
    <row r="62" spans="1:7" x14ac:dyDescent="0.2">
      <c r="A62" s="2">
        <v>8</v>
      </c>
      <c r="B62" t="s">
        <v>13</v>
      </c>
      <c r="C62" t="s">
        <v>14</v>
      </c>
      <c r="D62" t="s">
        <v>17</v>
      </c>
      <c r="E62" s="4" cm="1">
        <f t="array" ref="E62">INDEX('[1]ses-monthly-trade'!N$2:N$25,
       MATCH(1,
             (B62='[1]ses-monthly-trade'!M$2:M$25) *
             ('Seasonal Electricity Trade'!A62='[1]ses-monthly-trade'!L$2:L$25),
       0))</f>
        <v>21848.742925116803</v>
      </c>
      <c r="F62" s="4" cm="1">
        <f t="array" ref="F62">INDEX('[1]ses-monthly-trade'!O$2:O$25,
       MATCH(1,
             (B62='[1]ses-monthly-trade'!M$2:M$25) *
             ('Seasonal Electricity Trade'!A62='[1]ses-monthly-trade'!L$2:L$25),
       0))</f>
        <v>94.862514092051697</v>
      </c>
      <c r="G62" s="4"/>
    </row>
    <row r="63" spans="1:7" x14ac:dyDescent="0.2">
      <c r="A63" s="2">
        <v>8</v>
      </c>
      <c r="B63" t="s">
        <v>12</v>
      </c>
      <c r="C63" t="s">
        <v>14</v>
      </c>
      <c r="D63" t="s">
        <v>17</v>
      </c>
      <c r="E63" s="4" cm="1">
        <f t="array" ref="E63">INDEX('[1]ses-monthly-trade'!N$2:N$25,
       MATCH(1,
             (B63='[1]ses-monthly-trade'!M$2:M$25) *
             ('Seasonal Electricity Trade'!A63='[1]ses-monthly-trade'!L$2:L$25),
       0))</f>
        <v>5515.7933833625848</v>
      </c>
      <c r="F63" s="4" cm="1">
        <f t="array" ref="F63">INDEX('[1]ses-monthly-trade'!O$2:O$25,
       MATCH(1,
             (B63='[1]ses-monthly-trade'!M$2:M$25) *
             ('Seasonal Electricity Trade'!A63='[1]ses-monthly-trade'!L$2:L$25),
       0))</f>
        <v>9031.301041402925</v>
      </c>
      <c r="G63" s="4"/>
    </row>
    <row r="64" spans="1:7" x14ac:dyDescent="0.2">
      <c r="A64" s="2">
        <v>8</v>
      </c>
      <c r="B64" t="s">
        <v>11</v>
      </c>
      <c r="C64" t="s">
        <v>14</v>
      </c>
      <c r="D64" t="s">
        <v>17</v>
      </c>
      <c r="E64" s="4" cm="1">
        <f t="array" ref="E64">INDEX('[1]ses-monthly-trade'!N$2:N$25,
       MATCH(1,
             (B64='[1]ses-monthly-trade'!M$2:M$25) *
             ('Seasonal Electricity Trade'!A64='[1]ses-monthly-trade'!L$2:L$25),
       0))</f>
        <v>5508.7801698707663</v>
      </c>
      <c r="F64" s="4" cm="1">
        <f t="array" ref="F64">INDEX('[1]ses-monthly-trade'!O$2:O$25,
       MATCH(1,
             (B64='[1]ses-monthly-trade'!M$2:M$25) *
             ('Seasonal Electricity Trade'!A64='[1]ses-monthly-trade'!L$2:L$25),
       0))</f>
        <v>9038.9897282887287</v>
      </c>
      <c r="G64" s="4"/>
    </row>
    <row r="65" spans="1:7" x14ac:dyDescent="0.2">
      <c r="A65" s="2">
        <v>8</v>
      </c>
      <c r="B65" t="s">
        <v>10</v>
      </c>
      <c r="C65" t="s">
        <v>14</v>
      </c>
      <c r="D65" t="s">
        <v>17</v>
      </c>
      <c r="E65" s="4" cm="1">
        <f t="array" ref="E65">INDEX('[1]ses-monthly-trade'!N$2:N$25,
       MATCH(1,
             (B65='[1]ses-monthly-trade'!M$2:M$25) *
             ('Seasonal Electricity Trade'!A65='[1]ses-monthly-trade'!L$2:L$25),
       0))</f>
        <v>5527.2179905039156</v>
      </c>
      <c r="F65" s="4" cm="1">
        <f t="array" ref="F65">INDEX('[1]ses-monthly-trade'!O$2:O$25,
       MATCH(1,
             (B65='[1]ses-monthly-trade'!M$2:M$25) *
             ('Seasonal Electricity Trade'!A65='[1]ses-monthly-trade'!L$2:L$25),
       0))</f>
        <v>9019.2886513111189</v>
      </c>
      <c r="G65" s="4"/>
    </row>
    <row r="66" spans="1:7" x14ac:dyDescent="0.2">
      <c r="A66" s="2">
        <v>8</v>
      </c>
      <c r="B66" t="s">
        <v>9</v>
      </c>
      <c r="C66" t="s">
        <v>14</v>
      </c>
      <c r="D66" t="s">
        <v>17</v>
      </c>
      <c r="E66" s="4" cm="1">
        <f t="array" ref="E66">INDEX('[1]ses-monthly-trade'!N$2:N$25,
       MATCH(1,
             (B66='[1]ses-monthly-trade'!M$2:M$25) *
             ('Seasonal Electricity Trade'!A66='[1]ses-monthly-trade'!L$2:L$25),
       0))</f>
        <v>5570.5758620906481</v>
      </c>
      <c r="F66" s="4" cm="1">
        <f t="array" ref="F66">INDEX('[1]ses-monthly-trade'!O$2:O$25,
       MATCH(1,
             (B66='[1]ses-monthly-trade'!M$2:M$25) *
             ('Seasonal Electricity Trade'!A66='[1]ses-monthly-trade'!L$2:L$25),
       0))</f>
        <v>8977.6834090726643</v>
      </c>
      <c r="G66" s="4"/>
    </row>
    <row r="67" spans="1:7" x14ac:dyDescent="0.2">
      <c r="A67" s="2">
        <v>8</v>
      </c>
      <c r="B67" t="s">
        <v>8</v>
      </c>
      <c r="C67" t="s">
        <v>14</v>
      </c>
      <c r="D67" t="s">
        <v>17</v>
      </c>
      <c r="E67" s="4" cm="1">
        <f t="array" ref="E67">INDEX('[1]ses-monthly-trade'!N$2:N$25,
       MATCH(1,
             (B67='[1]ses-monthly-trade'!M$2:M$25) *
             ('Seasonal Electricity Trade'!A67='[1]ses-monthly-trade'!L$2:L$25),
       0))</f>
        <v>5813.5302949289035</v>
      </c>
      <c r="F67" s="4" cm="1">
        <f t="array" ref="F67">INDEX('[1]ses-monthly-trade'!O$2:O$25,
       MATCH(1,
             (B67='[1]ses-monthly-trade'!M$2:M$25) *
             ('Seasonal Electricity Trade'!A67='[1]ses-monthly-trade'!L$2:L$25),
       0))</f>
        <v>9089.5196797547651</v>
      </c>
      <c r="G67" s="4"/>
    </row>
    <row r="68" spans="1:7" x14ac:dyDescent="0.2">
      <c r="A68" s="2">
        <v>8</v>
      </c>
      <c r="B68" t="s">
        <v>7</v>
      </c>
      <c r="C68" t="s">
        <v>14</v>
      </c>
      <c r="D68" t="s">
        <v>17</v>
      </c>
      <c r="E68" s="4" cm="1">
        <f t="array" ref="E68">INDEX('[1]ses-monthly-trade'!N$2:N$25,
       MATCH(1,
             (B68='[1]ses-monthly-trade'!M$2:M$25) *
             ('Seasonal Electricity Trade'!A68='[1]ses-monthly-trade'!L$2:L$25),
       0))</f>
        <v>5786.1597083056749</v>
      </c>
      <c r="F68" s="4" cm="1">
        <f t="array" ref="F68">INDEX('[1]ses-monthly-trade'!O$2:O$25,
       MATCH(1,
             (B68='[1]ses-monthly-trade'!M$2:M$25) *
             ('Seasonal Electricity Trade'!A68='[1]ses-monthly-trade'!L$2:L$25),
       0))</f>
        <v>9115.6154099530631</v>
      </c>
      <c r="G68" s="4"/>
    </row>
    <row r="69" spans="1:7" x14ac:dyDescent="0.2">
      <c r="A69" s="2">
        <v>8</v>
      </c>
      <c r="B69" s="3" t="s">
        <v>6</v>
      </c>
      <c r="C69" t="s">
        <v>14</v>
      </c>
      <c r="D69" t="s">
        <v>17</v>
      </c>
      <c r="E69" s="4" cm="1">
        <f t="array" ref="E69">INDEX('[1]ses-monthly-trade'!N$2:N$25,
       MATCH(1,
             (B69='[1]ses-monthly-trade'!M$2:M$25) *
             ('Seasonal Electricity Trade'!A69='[1]ses-monthly-trade'!L$2:L$25),
       0))</f>
        <v>5797.6016291729493</v>
      </c>
      <c r="F69" s="4" cm="1">
        <f t="array" ref="F69">INDEX('[1]ses-monthly-trade'!O$2:O$25,
       MATCH(1,
             (B69='[1]ses-monthly-trade'!M$2:M$25) *
             ('Seasonal Electricity Trade'!A69='[1]ses-monthly-trade'!L$2:L$25),
       0))</f>
        <v>9103.8993051958914</v>
      </c>
      <c r="G69" s="4"/>
    </row>
    <row r="70" spans="1:7" x14ac:dyDescent="0.2">
      <c r="A70" s="2">
        <v>8</v>
      </c>
      <c r="B70" t="s">
        <v>5</v>
      </c>
      <c r="C70" t="s">
        <v>14</v>
      </c>
      <c r="D70" t="s">
        <v>17</v>
      </c>
      <c r="E70" s="4" cm="1">
        <f t="array" ref="E70">INDEX('[1]ses-monthly-trade'!N$2:N$25,
       MATCH(1,
             (B70='[1]ses-monthly-trade'!M$2:M$25) *
             ('Seasonal Electricity Trade'!A70='[1]ses-monthly-trade'!L$2:L$25),
       0))</f>
        <v>5814.1472396494755</v>
      </c>
      <c r="F70" s="4" cm="1">
        <f t="array" ref="F70">INDEX('[1]ses-monthly-trade'!O$2:O$25,
       MATCH(1,
             (B70='[1]ses-monthly-trade'!M$2:M$25) *
             ('Seasonal Electricity Trade'!A70='[1]ses-monthly-trade'!L$2:L$25),
       0))</f>
        <v>9089.1371493191837</v>
      </c>
      <c r="G70" s="4"/>
    </row>
    <row r="71" spans="1:7" x14ac:dyDescent="0.2">
      <c r="A71">
        <v>8</v>
      </c>
      <c r="B71" t="s">
        <v>4</v>
      </c>
      <c r="C71" t="s">
        <v>14</v>
      </c>
      <c r="D71" t="s">
        <v>17</v>
      </c>
      <c r="E71" s="4" cm="1">
        <f t="array" ref="E71">INDEX('[1]ses-monthly-trade'!N$2:N$25,
       MATCH(1,
             (B71='[1]ses-monthly-trade'!M$2:M$25) *
             ('Seasonal Electricity Trade'!A71='[1]ses-monthly-trade'!L$2:L$25),
       0))</f>
        <v>21844.507147639582</v>
      </c>
      <c r="F71" s="4" cm="1">
        <f t="array" ref="F71">INDEX('[1]ses-monthly-trade'!O$2:O$25,
       MATCH(1,
             (B71='[1]ses-monthly-trade'!M$2:M$25) *
             ('Seasonal Electricity Trade'!A71='[1]ses-monthly-trade'!L$2:L$25),
       0))</f>
        <v>93.388767287421459</v>
      </c>
      <c r="G71" s="4"/>
    </row>
    <row r="72" spans="1:7" x14ac:dyDescent="0.2">
      <c r="A72">
        <v>8</v>
      </c>
      <c r="B72" t="s">
        <v>3</v>
      </c>
      <c r="C72" t="s">
        <v>14</v>
      </c>
      <c r="D72" t="s">
        <v>17</v>
      </c>
      <c r="E72" s="4" cm="1">
        <f t="array" ref="E72">INDEX('[1]ses-monthly-trade'!N$2:N$25,
       MATCH(1,
             (B72='[1]ses-monthly-trade'!M$2:M$25) *
             ('Seasonal Electricity Trade'!A72='[1]ses-monthly-trade'!L$2:L$25),
       0))</f>
        <v>21848.218793375509</v>
      </c>
      <c r="F72" s="4" cm="1">
        <f t="array" ref="F72">INDEX('[1]ses-monthly-trade'!O$2:O$25,
       MATCH(1,
             (B72='[1]ses-monthly-trade'!M$2:M$25) *
             ('Seasonal Electricity Trade'!A72='[1]ses-monthly-trade'!L$2:L$25),
       0))</f>
        <v>87.927659107155847</v>
      </c>
      <c r="G72" s="4"/>
    </row>
    <row r="73" spans="1:7" x14ac:dyDescent="0.2">
      <c r="A73">
        <v>8</v>
      </c>
      <c r="B73" t="s">
        <v>2</v>
      </c>
      <c r="C73" t="s">
        <v>14</v>
      </c>
      <c r="D73" t="s">
        <v>17</v>
      </c>
      <c r="E73" s="4" cm="1">
        <f t="array" ref="E73">INDEX('[1]ses-monthly-trade'!N$2:N$25,
       MATCH(1,
             (B73='[1]ses-monthly-trade'!M$2:M$25) *
             ('Seasonal Electricity Trade'!A73='[1]ses-monthly-trade'!L$2:L$25),
       0))</f>
        <v>21847.681484237371</v>
      </c>
      <c r="F73" s="4" cm="1">
        <f t="array" ref="F73">INDEX('[1]ses-monthly-trade'!O$2:O$25,
       MATCH(1,
             (B73='[1]ses-monthly-trade'!M$2:M$25) *
             ('Seasonal Electricity Trade'!A73='[1]ses-monthly-trade'!L$2:L$25),
       0))</f>
        <v>85.800050907050618</v>
      </c>
      <c r="G73" s="4"/>
    </row>
    <row r="74" spans="1:7" x14ac:dyDescent="0.2">
      <c r="A74" s="2">
        <v>5</v>
      </c>
      <c r="B74" t="s">
        <v>13</v>
      </c>
      <c r="C74" t="s">
        <v>1</v>
      </c>
      <c r="D74" t="s">
        <v>17</v>
      </c>
      <c r="E74" s="1">
        <f>'[1]ses-eth-monthly-trade'!F3</f>
        <v>7.6874700000000002</v>
      </c>
      <c r="F74" s="1">
        <f>'[1]ses-eth-monthly-trade'!G3</f>
        <v>-2.2689694999999999</v>
      </c>
      <c r="G74" s="1"/>
    </row>
    <row r="75" spans="1:7" x14ac:dyDescent="0.2">
      <c r="A75" s="2">
        <v>5</v>
      </c>
      <c r="B75" t="s">
        <v>12</v>
      </c>
      <c r="C75" t="s">
        <v>1</v>
      </c>
      <c r="D75" t="s">
        <v>17</v>
      </c>
      <c r="E75" s="1">
        <f>'[1]ses-eth-monthly-trade'!F4</f>
        <v>8.2690280000000005</v>
      </c>
      <c r="F75" s="1">
        <f>'[1]ses-eth-monthly-trade'!G4</f>
        <v>-4.1475020000000002</v>
      </c>
      <c r="G75" s="1"/>
    </row>
    <row r="76" spans="1:7" x14ac:dyDescent="0.2">
      <c r="A76" s="2">
        <v>5</v>
      </c>
      <c r="B76" t="s">
        <v>11</v>
      </c>
      <c r="C76" t="s">
        <v>1</v>
      </c>
      <c r="D76" t="s">
        <v>17</v>
      </c>
      <c r="E76" s="1">
        <f>'[1]ses-eth-monthly-trade'!F5</f>
        <v>8.2042450000000002</v>
      </c>
      <c r="F76" s="1">
        <f>'[1]ses-eth-monthly-trade'!G5</f>
        <v>-5.4016294</v>
      </c>
      <c r="G76" s="1"/>
    </row>
    <row r="77" spans="1:7" x14ac:dyDescent="0.2">
      <c r="A77" s="2">
        <v>5</v>
      </c>
      <c r="B77" t="s">
        <v>10</v>
      </c>
      <c r="C77" t="s">
        <v>1</v>
      </c>
      <c r="D77" t="s">
        <v>17</v>
      </c>
      <c r="E77" s="1">
        <f>'[1]ses-eth-monthly-trade'!F6</f>
        <v>8.2042450000000002</v>
      </c>
      <c r="F77" s="1">
        <f>'[1]ses-eth-monthly-trade'!G6</f>
        <v>-5.4016294</v>
      </c>
      <c r="G77" s="1"/>
    </row>
    <row r="78" spans="1:7" x14ac:dyDescent="0.2">
      <c r="A78" s="2">
        <v>5</v>
      </c>
      <c r="B78" t="s">
        <v>9</v>
      </c>
      <c r="C78" t="s">
        <v>1</v>
      </c>
      <c r="D78" t="s">
        <v>17</v>
      </c>
      <c r="E78" s="1">
        <f>'[1]ses-eth-monthly-trade'!F7</f>
        <v>8.2026415000000004</v>
      </c>
      <c r="F78" s="1">
        <f>'[1]ses-eth-monthly-trade'!G7</f>
        <v>-5.4018649999999999</v>
      </c>
      <c r="G78" s="1"/>
    </row>
    <row r="79" spans="1:7" x14ac:dyDescent="0.2">
      <c r="A79" s="2">
        <v>5</v>
      </c>
      <c r="B79" t="s">
        <v>8</v>
      </c>
      <c r="C79" t="s">
        <v>1</v>
      </c>
      <c r="D79" t="s">
        <v>17</v>
      </c>
      <c r="E79" s="1">
        <f>'[1]ses-eth-monthly-trade'!F8</f>
        <v>8.2026415000000004</v>
      </c>
      <c r="F79" s="1">
        <f>'[1]ses-eth-monthly-trade'!G8</f>
        <v>-5.4018649999999999</v>
      </c>
      <c r="G79" s="1"/>
    </row>
    <row r="80" spans="1:7" x14ac:dyDescent="0.2">
      <c r="A80" s="2">
        <v>5</v>
      </c>
      <c r="B80" t="s">
        <v>7</v>
      </c>
      <c r="C80" t="s">
        <v>1</v>
      </c>
      <c r="D80" t="s">
        <v>17</v>
      </c>
      <c r="E80" s="1">
        <f>'[1]ses-eth-monthly-trade'!F9</f>
        <v>8.2026415000000004</v>
      </c>
      <c r="F80" s="1">
        <f>'[1]ses-eth-monthly-trade'!G9</f>
        <v>-5.4018649999999999</v>
      </c>
      <c r="G80" s="1"/>
    </row>
    <row r="81" spans="1:7" x14ac:dyDescent="0.2">
      <c r="A81" s="2">
        <v>5</v>
      </c>
      <c r="B81" s="3" t="s">
        <v>6</v>
      </c>
      <c r="C81" t="s">
        <v>1</v>
      </c>
      <c r="D81" t="s">
        <v>17</v>
      </c>
      <c r="E81" s="1">
        <f>'[1]ses-eth-monthly-trade'!F10</f>
        <v>8.2026415000000004</v>
      </c>
      <c r="F81" s="1">
        <f>'[1]ses-eth-monthly-trade'!G10</f>
        <v>-5.4018649999999999</v>
      </c>
      <c r="G81" s="1"/>
    </row>
    <row r="82" spans="1:7" x14ac:dyDescent="0.2">
      <c r="A82" s="2">
        <v>5</v>
      </c>
      <c r="B82" t="s">
        <v>5</v>
      </c>
      <c r="C82" t="s">
        <v>1</v>
      </c>
      <c r="D82" t="s">
        <v>17</v>
      </c>
      <c r="E82" s="1">
        <f>'[1]ses-eth-monthly-trade'!F11</f>
        <v>30.579111000000001</v>
      </c>
      <c r="F82" s="1">
        <f>'[1]ses-eth-monthly-trade'!G11</f>
        <v>-0.10421844</v>
      </c>
      <c r="G82" s="1"/>
    </row>
    <row r="83" spans="1:7" x14ac:dyDescent="0.2">
      <c r="A83" s="2">
        <v>5</v>
      </c>
      <c r="B83" t="s">
        <v>4</v>
      </c>
      <c r="C83" t="s">
        <v>1</v>
      </c>
      <c r="D83" t="s">
        <v>17</v>
      </c>
      <c r="E83" s="1">
        <f>'[1]ses-eth-monthly-trade'!F12</f>
        <v>30.579111000000001</v>
      </c>
      <c r="F83" s="1">
        <f>'[1]ses-eth-monthly-trade'!G12</f>
        <v>-0.10421844</v>
      </c>
      <c r="G83" s="1"/>
    </row>
    <row r="84" spans="1:7" x14ac:dyDescent="0.2">
      <c r="A84" s="2">
        <v>5</v>
      </c>
      <c r="B84" t="s">
        <v>3</v>
      </c>
      <c r="C84" t="s">
        <v>1</v>
      </c>
      <c r="D84" t="s">
        <v>17</v>
      </c>
      <c r="E84" s="1">
        <f>'[1]ses-eth-monthly-trade'!F13</f>
        <v>30.579111000000001</v>
      </c>
      <c r="F84" s="1">
        <f>'[1]ses-eth-monthly-trade'!G13</f>
        <v>-0.10421844</v>
      </c>
      <c r="G84" s="1"/>
    </row>
    <row r="85" spans="1:7" x14ac:dyDescent="0.2">
      <c r="A85" s="2">
        <v>5</v>
      </c>
      <c r="B85" t="s">
        <v>2</v>
      </c>
      <c r="C85" t="s">
        <v>1</v>
      </c>
      <c r="D85" t="s">
        <v>17</v>
      </c>
      <c r="E85" s="1">
        <f>'[1]ses-eth-monthly-trade'!F14</f>
        <v>30.579111000000001</v>
      </c>
      <c r="F85" s="1">
        <f>'[1]ses-eth-monthly-trade'!G14</f>
        <v>-0.10421844</v>
      </c>
      <c r="G85" s="1"/>
    </row>
    <row r="86" spans="1:7" x14ac:dyDescent="0.2">
      <c r="A86" s="2">
        <v>8</v>
      </c>
      <c r="B86" t="s">
        <v>13</v>
      </c>
      <c r="C86" t="s">
        <v>1</v>
      </c>
      <c r="D86" t="s">
        <v>17</v>
      </c>
      <c r="E86" s="1">
        <f>'[1]ses-eth-monthly-trade'!F15</f>
        <v>8.1471499999999999</v>
      </c>
      <c r="F86" s="1">
        <f>'[1]ses-eth-monthly-trade'!G15</f>
        <v>-4.1083319999999999</v>
      </c>
      <c r="G86" s="1"/>
    </row>
    <row r="87" spans="1:7" x14ac:dyDescent="0.2">
      <c r="A87" s="2">
        <v>8</v>
      </c>
      <c r="B87" t="s">
        <v>12</v>
      </c>
      <c r="C87" t="s">
        <v>1</v>
      </c>
      <c r="D87" t="s">
        <v>17</v>
      </c>
      <c r="E87" s="1">
        <f>'[1]ses-eth-monthly-trade'!F16</f>
        <v>8.2042450000000002</v>
      </c>
      <c r="F87" s="1">
        <f>'[1]ses-eth-monthly-trade'!G16</f>
        <v>-5.4016294</v>
      </c>
      <c r="G87" s="1"/>
    </row>
    <row r="88" spans="1:7" x14ac:dyDescent="0.2">
      <c r="A88" s="2">
        <v>8</v>
      </c>
      <c r="B88" t="s">
        <v>11</v>
      </c>
      <c r="C88" t="s">
        <v>1</v>
      </c>
      <c r="D88" t="s">
        <v>17</v>
      </c>
      <c r="E88" s="1">
        <f>'[1]ses-eth-monthly-trade'!F17</f>
        <v>8.2042450000000002</v>
      </c>
      <c r="F88" s="1">
        <f>'[1]ses-eth-monthly-trade'!G17</f>
        <v>-5.4016294</v>
      </c>
      <c r="G88" s="1"/>
    </row>
    <row r="89" spans="1:7" x14ac:dyDescent="0.2">
      <c r="A89" s="2">
        <v>8</v>
      </c>
      <c r="B89" t="s">
        <v>10</v>
      </c>
      <c r="C89" t="s">
        <v>1</v>
      </c>
      <c r="D89" t="s">
        <v>17</v>
      </c>
      <c r="E89" s="1">
        <f>'[1]ses-eth-monthly-trade'!F18</f>
        <v>8.2042450000000002</v>
      </c>
      <c r="F89" s="1">
        <f>'[1]ses-eth-monthly-trade'!G18</f>
        <v>-5.4016294</v>
      </c>
      <c r="G89" s="1"/>
    </row>
    <row r="90" spans="1:7" x14ac:dyDescent="0.2">
      <c r="A90" s="2">
        <v>8</v>
      </c>
      <c r="B90" t="s">
        <v>9</v>
      </c>
      <c r="C90" t="s">
        <v>1</v>
      </c>
      <c r="D90" t="s">
        <v>17</v>
      </c>
      <c r="E90" s="1">
        <f>'[1]ses-eth-monthly-trade'!F19</f>
        <v>8.2026415000000004</v>
      </c>
      <c r="F90" s="1">
        <f>'[1]ses-eth-monthly-trade'!G19</f>
        <v>-5.4018649999999999</v>
      </c>
      <c r="G90" s="1"/>
    </row>
    <row r="91" spans="1:7" x14ac:dyDescent="0.2">
      <c r="A91" s="2">
        <v>8</v>
      </c>
      <c r="B91" t="s">
        <v>8</v>
      </c>
      <c r="C91" t="s">
        <v>1</v>
      </c>
      <c r="D91" t="s">
        <v>17</v>
      </c>
      <c r="E91" s="1">
        <f>'[1]ses-eth-monthly-trade'!F20</f>
        <v>8.2026415000000004</v>
      </c>
      <c r="F91" s="1">
        <f>'[1]ses-eth-monthly-trade'!G20</f>
        <v>-5.4018649999999999</v>
      </c>
      <c r="G91" s="1"/>
    </row>
    <row r="92" spans="1:7" x14ac:dyDescent="0.2">
      <c r="A92" s="2">
        <v>8</v>
      </c>
      <c r="B92" t="s">
        <v>7</v>
      </c>
      <c r="C92" t="s">
        <v>1</v>
      </c>
      <c r="D92" t="s">
        <v>17</v>
      </c>
      <c r="E92" s="1">
        <f>'[1]ses-eth-monthly-trade'!F21</f>
        <v>8.2026415000000004</v>
      </c>
      <c r="F92" s="1">
        <f>'[1]ses-eth-monthly-trade'!G21</f>
        <v>-5.4018649999999999</v>
      </c>
      <c r="G92" s="1"/>
    </row>
    <row r="93" spans="1:7" x14ac:dyDescent="0.2">
      <c r="A93" s="2">
        <v>8</v>
      </c>
      <c r="B93" s="3" t="s">
        <v>6</v>
      </c>
      <c r="C93" t="s">
        <v>1</v>
      </c>
      <c r="D93" t="s">
        <v>17</v>
      </c>
      <c r="E93" s="1">
        <f>'[1]ses-eth-monthly-trade'!F22</f>
        <v>8.2026415000000004</v>
      </c>
      <c r="F93" s="1">
        <f>'[1]ses-eth-monthly-trade'!G22</f>
        <v>-5.4018649999999999</v>
      </c>
      <c r="G93" s="1"/>
    </row>
    <row r="94" spans="1:7" x14ac:dyDescent="0.2">
      <c r="A94" s="2">
        <v>8</v>
      </c>
      <c r="B94" t="s">
        <v>5</v>
      </c>
      <c r="C94" t="s">
        <v>1</v>
      </c>
      <c r="D94" t="s">
        <v>17</v>
      </c>
      <c r="E94" s="1">
        <f>'[1]ses-eth-monthly-trade'!F23</f>
        <v>30.579111000000001</v>
      </c>
      <c r="F94" s="1">
        <f>'[1]ses-eth-monthly-trade'!G23</f>
        <v>-0.10421844</v>
      </c>
      <c r="G94" s="1"/>
    </row>
    <row r="95" spans="1:7" x14ac:dyDescent="0.2">
      <c r="A95">
        <v>8</v>
      </c>
      <c r="B95" t="s">
        <v>4</v>
      </c>
      <c r="C95" t="s">
        <v>1</v>
      </c>
      <c r="D95" t="s">
        <v>17</v>
      </c>
      <c r="E95" s="1">
        <f>'[1]ses-eth-monthly-trade'!F24</f>
        <v>30.579111000000001</v>
      </c>
      <c r="F95" s="1">
        <f>'[1]ses-eth-monthly-trade'!G24</f>
        <v>-0.10421844</v>
      </c>
      <c r="G95" s="1"/>
    </row>
    <row r="96" spans="1:7" x14ac:dyDescent="0.2">
      <c r="A96">
        <v>8</v>
      </c>
      <c r="B96" t="s">
        <v>3</v>
      </c>
      <c r="C96" t="s">
        <v>1</v>
      </c>
      <c r="D96" t="s">
        <v>17</v>
      </c>
      <c r="E96" s="1">
        <f>'[1]ses-eth-monthly-trade'!F25</f>
        <v>30.579111000000001</v>
      </c>
      <c r="F96" s="1">
        <f>'[1]ses-eth-monthly-trade'!G25</f>
        <v>-0.10421844</v>
      </c>
      <c r="G96" s="1"/>
    </row>
    <row r="97" spans="1:7" x14ac:dyDescent="0.2">
      <c r="A97">
        <v>8</v>
      </c>
      <c r="B97" t="s">
        <v>2</v>
      </c>
      <c r="C97" t="s">
        <v>1</v>
      </c>
      <c r="D97" t="s">
        <v>17</v>
      </c>
      <c r="E97" s="1">
        <f>'[1]ses-eth-monthly-trade'!F26</f>
        <v>30.579111000000001</v>
      </c>
      <c r="F97" s="1">
        <f>'[1]ses-eth-monthly-trade'!G26</f>
        <v>-0.10421844</v>
      </c>
      <c r="G97" s="1"/>
    </row>
    <row r="98" spans="1:7" x14ac:dyDescent="0.2">
      <c r="A98" s="2">
        <v>5</v>
      </c>
      <c r="B98" t="s">
        <v>13</v>
      </c>
      <c r="C98" t="s">
        <v>16</v>
      </c>
      <c r="D98" t="s">
        <v>0</v>
      </c>
      <c r="E98" s="1">
        <v>0.75692492594697991</v>
      </c>
      <c r="F98" s="1">
        <v>2.3151212523255538</v>
      </c>
    </row>
    <row r="99" spans="1:7" x14ac:dyDescent="0.2">
      <c r="A99" s="2">
        <v>5</v>
      </c>
      <c r="B99" t="s">
        <v>12</v>
      </c>
      <c r="C99" t="s">
        <v>16</v>
      </c>
      <c r="D99" t="s">
        <v>0</v>
      </c>
      <c r="E99" s="1">
        <v>3.6826386405763731</v>
      </c>
      <c r="F99" s="1">
        <v>1.1627570844953778</v>
      </c>
    </row>
    <row r="100" spans="1:7" x14ac:dyDescent="0.2">
      <c r="A100" s="2">
        <v>5</v>
      </c>
      <c r="B100" t="s">
        <v>11</v>
      </c>
      <c r="C100" t="s">
        <v>16</v>
      </c>
      <c r="D100" t="s">
        <v>0</v>
      </c>
      <c r="E100" s="1">
        <v>5.5032673093130269</v>
      </c>
      <c r="F100" s="1">
        <v>0.9235859190717266</v>
      </c>
    </row>
    <row r="101" spans="1:7" x14ac:dyDescent="0.2">
      <c r="A101" s="2">
        <v>5</v>
      </c>
      <c r="B101" t="s">
        <v>10</v>
      </c>
      <c r="C101" t="s">
        <v>16</v>
      </c>
      <c r="D101" t="s">
        <v>0</v>
      </c>
      <c r="E101" s="1">
        <v>6.2664725246013955</v>
      </c>
      <c r="F101" s="1">
        <v>4.9097536596380484E-2</v>
      </c>
    </row>
    <row r="102" spans="1:7" x14ac:dyDescent="0.2">
      <c r="A102" s="2">
        <v>5</v>
      </c>
      <c r="B102" t="s">
        <v>9</v>
      </c>
      <c r="C102" t="s">
        <v>16</v>
      </c>
      <c r="D102" t="s">
        <v>0</v>
      </c>
      <c r="E102" s="1">
        <v>4.5460179862654968</v>
      </c>
      <c r="F102" s="1">
        <v>1.1561968122492456</v>
      </c>
    </row>
    <row r="103" spans="1:7" x14ac:dyDescent="0.2">
      <c r="A103" s="2">
        <v>5</v>
      </c>
      <c r="B103" t="s">
        <v>8</v>
      </c>
      <c r="C103" t="s">
        <v>16</v>
      </c>
      <c r="D103" t="s">
        <v>0</v>
      </c>
      <c r="E103" s="1">
        <v>5.8065220235122545</v>
      </c>
      <c r="F103" s="1">
        <v>0.91663999563754506</v>
      </c>
    </row>
    <row r="104" spans="1:7" x14ac:dyDescent="0.2">
      <c r="A104" s="2">
        <v>5</v>
      </c>
      <c r="B104" t="s">
        <v>7</v>
      </c>
      <c r="C104" t="s">
        <v>16</v>
      </c>
      <c r="D104" t="s">
        <v>0</v>
      </c>
      <c r="E104" s="1">
        <v>6.3310488822316566</v>
      </c>
      <c r="F104" s="1">
        <v>2.3568427504183864E-2</v>
      </c>
    </row>
    <row r="105" spans="1:7" x14ac:dyDescent="0.2">
      <c r="A105" s="2">
        <v>5</v>
      </c>
      <c r="B105" s="3" t="s">
        <v>6</v>
      </c>
      <c r="C105" t="s">
        <v>16</v>
      </c>
      <c r="D105" t="s">
        <v>0</v>
      </c>
      <c r="E105" s="1">
        <v>6.3310488822316566</v>
      </c>
      <c r="F105" s="1">
        <v>2.3568427504183864E-2</v>
      </c>
    </row>
    <row r="106" spans="1:7" x14ac:dyDescent="0.2">
      <c r="A106" s="2">
        <v>5</v>
      </c>
      <c r="B106" t="s">
        <v>5</v>
      </c>
      <c r="C106" t="s">
        <v>16</v>
      </c>
      <c r="D106" t="s">
        <v>0</v>
      </c>
      <c r="E106" s="1">
        <v>2.244013255500549</v>
      </c>
      <c r="F106" s="1">
        <v>1.1473060073918959</v>
      </c>
    </row>
    <row r="107" spans="1:7" x14ac:dyDescent="0.2">
      <c r="A107" s="2">
        <v>5</v>
      </c>
      <c r="B107" t="s">
        <v>4</v>
      </c>
      <c r="C107" t="s">
        <v>16</v>
      </c>
      <c r="D107" t="s">
        <v>0</v>
      </c>
      <c r="E107" s="1">
        <v>5.0001680906649222</v>
      </c>
      <c r="F107" s="1">
        <v>1.0035456033165859</v>
      </c>
    </row>
    <row r="108" spans="1:7" x14ac:dyDescent="0.2">
      <c r="A108" s="2">
        <v>5</v>
      </c>
      <c r="B108" t="s">
        <v>3</v>
      </c>
      <c r="C108" t="s">
        <v>16</v>
      </c>
      <c r="D108" t="s">
        <v>0</v>
      </c>
      <c r="E108" s="1">
        <v>8.5237802573352788</v>
      </c>
      <c r="F108" s="1">
        <v>4.446502052022914E-4</v>
      </c>
    </row>
    <row r="109" spans="1:7" x14ac:dyDescent="0.2">
      <c r="A109" s="2">
        <v>5</v>
      </c>
      <c r="B109" t="s">
        <v>2</v>
      </c>
      <c r="C109" t="s">
        <v>16</v>
      </c>
      <c r="D109" t="s">
        <v>0</v>
      </c>
      <c r="E109" s="1">
        <v>9.4619203465634243</v>
      </c>
      <c r="F109" s="1">
        <v>3.6146622693128785E-4</v>
      </c>
    </row>
    <row r="110" spans="1:7" x14ac:dyDescent="0.2">
      <c r="A110" s="2">
        <v>8</v>
      </c>
      <c r="B110" t="s">
        <v>13</v>
      </c>
      <c r="C110" t="s">
        <v>16</v>
      </c>
      <c r="D110" t="s">
        <v>0</v>
      </c>
      <c r="E110" s="1">
        <v>2.3876307375690597</v>
      </c>
      <c r="F110" s="1">
        <v>1.4232575285313322</v>
      </c>
    </row>
    <row r="111" spans="1:7" x14ac:dyDescent="0.2">
      <c r="A111" s="2">
        <v>8</v>
      </c>
      <c r="B111" t="s">
        <v>12</v>
      </c>
      <c r="C111" t="s">
        <v>16</v>
      </c>
      <c r="D111" t="s">
        <v>0</v>
      </c>
      <c r="E111" s="1">
        <v>5.2041343762572163</v>
      </c>
      <c r="F111" s="1">
        <v>1.0546824688598935</v>
      </c>
    </row>
    <row r="112" spans="1:7" x14ac:dyDescent="0.2">
      <c r="A112" s="2">
        <v>8</v>
      </c>
      <c r="B112" t="s">
        <v>11</v>
      </c>
      <c r="C112" t="s">
        <v>16</v>
      </c>
      <c r="D112" t="s">
        <v>0</v>
      </c>
      <c r="E112" s="1">
        <v>6.2664725246013955</v>
      </c>
      <c r="F112" s="1">
        <v>4.9097536596380484E-2</v>
      </c>
    </row>
    <row r="113" spans="1:6" x14ac:dyDescent="0.2">
      <c r="A113" s="2">
        <v>8</v>
      </c>
      <c r="B113" t="s">
        <v>10</v>
      </c>
      <c r="C113" t="s">
        <v>16</v>
      </c>
      <c r="D113" t="s">
        <v>0</v>
      </c>
      <c r="E113" s="1">
        <v>6.2664725246013955</v>
      </c>
      <c r="F113" s="1">
        <v>4.9097536596380484E-2</v>
      </c>
    </row>
    <row r="114" spans="1:6" x14ac:dyDescent="0.2">
      <c r="A114" s="2">
        <v>8</v>
      </c>
      <c r="B114" t="s">
        <v>9</v>
      </c>
      <c r="C114" t="s">
        <v>16</v>
      </c>
      <c r="D114" t="s">
        <v>0</v>
      </c>
      <c r="E114" s="1">
        <v>5.3902931833183638</v>
      </c>
      <c r="F114" s="1">
        <v>1.0609186055971784</v>
      </c>
    </row>
    <row r="115" spans="1:6" x14ac:dyDescent="0.2">
      <c r="A115" s="2">
        <v>8</v>
      </c>
      <c r="B115" t="s">
        <v>8</v>
      </c>
      <c r="C115" t="s">
        <v>16</v>
      </c>
      <c r="D115" t="s">
        <v>0</v>
      </c>
      <c r="E115" s="1">
        <v>6.3310488822316566</v>
      </c>
      <c r="F115" s="1">
        <v>2.3568427504183864E-2</v>
      </c>
    </row>
    <row r="116" spans="1:6" x14ac:dyDescent="0.2">
      <c r="A116" s="2">
        <v>8</v>
      </c>
      <c r="B116" t="s">
        <v>7</v>
      </c>
      <c r="C116" t="s">
        <v>16</v>
      </c>
      <c r="D116" t="s">
        <v>0</v>
      </c>
      <c r="E116" s="1">
        <v>6.3310488822316566</v>
      </c>
      <c r="F116" s="1">
        <v>2.3568427504183864E-2</v>
      </c>
    </row>
    <row r="117" spans="1:6" x14ac:dyDescent="0.2">
      <c r="A117" s="2">
        <v>8</v>
      </c>
      <c r="B117" s="3" t="s">
        <v>6</v>
      </c>
      <c r="C117" t="s">
        <v>16</v>
      </c>
      <c r="D117" t="s">
        <v>0</v>
      </c>
      <c r="E117" s="1">
        <v>6.3310488822316566</v>
      </c>
      <c r="F117" s="1">
        <v>2.3568427504183864E-2</v>
      </c>
    </row>
    <row r="118" spans="1:6" x14ac:dyDescent="0.2">
      <c r="A118" s="2">
        <v>8</v>
      </c>
      <c r="B118" t="s">
        <v>5</v>
      </c>
      <c r="C118" t="s">
        <v>16</v>
      </c>
      <c r="D118" t="s">
        <v>0</v>
      </c>
      <c r="E118" s="1">
        <v>3.6618166913945331</v>
      </c>
      <c r="F118" s="1">
        <v>1.146891864088349</v>
      </c>
    </row>
    <row r="119" spans="1:6" x14ac:dyDescent="0.2">
      <c r="A119">
        <v>8</v>
      </c>
      <c r="B119" t="s">
        <v>4</v>
      </c>
      <c r="C119" t="s">
        <v>16</v>
      </c>
      <c r="D119" t="s">
        <v>0</v>
      </c>
      <c r="E119" s="1">
        <v>8.5154060478421947</v>
      </c>
      <c r="F119" s="1">
        <v>2.1543386137011375E-4</v>
      </c>
    </row>
    <row r="120" spans="1:6" x14ac:dyDescent="0.2">
      <c r="A120">
        <v>8</v>
      </c>
      <c r="B120" t="s">
        <v>3</v>
      </c>
      <c r="C120" t="s">
        <v>16</v>
      </c>
      <c r="D120" t="s">
        <v>0</v>
      </c>
      <c r="E120" s="1">
        <v>9.2382666739837749</v>
      </c>
      <c r="F120" s="1">
        <v>2.5363427537546476E-4</v>
      </c>
    </row>
    <row r="121" spans="1:6" x14ac:dyDescent="0.2">
      <c r="A121">
        <v>8</v>
      </c>
      <c r="B121" t="s">
        <v>2</v>
      </c>
      <c r="C121" t="s">
        <v>16</v>
      </c>
      <c r="D121" t="s">
        <v>0</v>
      </c>
      <c r="E121" s="1">
        <v>9.4619203465634243</v>
      </c>
      <c r="F121" s="1">
        <v>3.6146622693128785E-4</v>
      </c>
    </row>
    <row r="122" spans="1:6" x14ac:dyDescent="0.2">
      <c r="A122" s="2">
        <v>5</v>
      </c>
      <c r="B122" t="s">
        <v>13</v>
      </c>
      <c r="C122" t="s">
        <v>15</v>
      </c>
      <c r="D122" t="s">
        <v>0</v>
      </c>
      <c r="E122" s="1">
        <v>6.6919281228210767</v>
      </c>
      <c r="F122" s="1">
        <v>9.9378395349000641</v>
      </c>
    </row>
    <row r="123" spans="1:6" x14ac:dyDescent="0.2">
      <c r="A123" s="2">
        <v>5</v>
      </c>
      <c r="B123" t="s">
        <v>12</v>
      </c>
      <c r="C123" t="s">
        <v>15</v>
      </c>
      <c r="D123" t="s">
        <v>0</v>
      </c>
      <c r="E123" s="1">
        <v>11.645867899471529</v>
      </c>
      <c r="F123" s="1">
        <v>3.9358816566473007</v>
      </c>
    </row>
    <row r="124" spans="1:6" x14ac:dyDescent="0.2">
      <c r="A124" s="2">
        <v>5</v>
      </c>
      <c r="B124" t="s">
        <v>11</v>
      </c>
      <c r="C124" t="s">
        <v>15</v>
      </c>
      <c r="D124" t="s">
        <v>0</v>
      </c>
      <c r="E124" s="1">
        <v>11.57604898153437</v>
      </c>
      <c r="F124" s="1">
        <v>3.1949984904325825</v>
      </c>
    </row>
    <row r="125" spans="1:6" x14ac:dyDescent="0.2">
      <c r="A125" s="2">
        <v>5</v>
      </c>
      <c r="B125" t="s">
        <v>10</v>
      </c>
      <c r="C125" t="s">
        <v>15</v>
      </c>
      <c r="D125" t="s">
        <v>0</v>
      </c>
      <c r="E125" s="1">
        <v>11.57604898153437</v>
      </c>
      <c r="F125" s="1">
        <v>3.1949984904325825</v>
      </c>
    </row>
    <row r="126" spans="1:6" x14ac:dyDescent="0.2">
      <c r="A126" s="2">
        <v>5</v>
      </c>
      <c r="B126" t="s">
        <v>9</v>
      </c>
      <c r="C126" t="s">
        <v>15</v>
      </c>
      <c r="D126" t="s">
        <v>0</v>
      </c>
      <c r="E126" s="1">
        <v>11.57604898153437</v>
      </c>
      <c r="F126" s="1">
        <v>3.1949984904325825</v>
      </c>
    </row>
    <row r="127" spans="1:6" x14ac:dyDescent="0.2">
      <c r="A127" s="2">
        <v>5</v>
      </c>
      <c r="B127" t="s">
        <v>8</v>
      </c>
      <c r="C127" t="s">
        <v>15</v>
      </c>
      <c r="D127" t="s">
        <v>0</v>
      </c>
      <c r="E127" s="1">
        <v>11.57604898153437</v>
      </c>
      <c r="F127" s="1">
        <v>3.1949984904325825</v>
      </c>
    </row>
    <row r="128" spans="1:6" x14ac:dyDescent="0.2">
      <c r="A128" s="2">
        <v>5</v>
      </c>
      <c r="B128" t="s">
        <v>7</v>
      </c>
      <c r="C128" t="s">
        <v>15</v>
      </c>
      <c r="D128" t="s">
        <v>0</v>
      </c>
      <c r="E128" s="1">
        <v>11.57604898153437</v>
      </c>
      <c r="F128" s="1">
        <v>3.1949984904325825</v>
      </c>
    </row>
    <row r="129" spans="1:6" x14ac:dyDescent="0.2">
      <c r="A129" s="2">
        <v>5</v>
      </c>
      <c r="B129" s="3" t="s">
        <v>6</v>
      </c>
      <c r="C129" t="s">
        <v>15</v>
      </c>
      <c r="D129" t="s">
        <v>0</v>
      </c>
      <c r="E129" s="1">
        <v>11.57604898153437</v>
      </c>
      <c r="F129" s="1">
        <v>3.1949984904325825</v>
      </c>
    </row>
    <row r="130" spans="1:6" x14ac:dyDescent="0.2">
      <c r="A130" s="2">
        <v>5</v>
      </c>
      <c r="B130" t="s">
        <v>5</v>
      </c>
      <c r="C130" t="s">
        <v>15</v>
      </c>
      <c r="D130" t="s">
        <v>0</v>
      </c>
      <c r="E130" s="1">
        <v>17.317123528300925</v>
      </c>
      <c r="F130" s="1">
        <v>2.9134523746070755</v>
      </c>
    </row>
    <row r="131" spans="1:6" x14ac:dyDescent="0.2">
      <c r="A131" s="2">
        <v>5</v>
      </c>
      <c r="B131" t="s">
        <v>4</v>
      </c>
      <c r="C131" t="s">
        <v>15</v>
      </c>
      <c r="D131" t="s">
        <v>0</v>
      </c>
      <c r="E131" s="1">
        <v>19.554708798863963</v>
      </c>
      <c r="F131" s="1">
        <v>1.9490659749113393</v>
      </c>
    </row>
    <row r="132" spans="1:6" x14ac:dyDescent="0.2">
      <c r="A132" s="2">
        <v>5</v>
      </c>
      <c r="B132" t="s">
        <v>3</v>
      </c>
      <c r="C132" t="s">
        <v>15</v>
      </c>
      <c r="D132" t="s">
        <v>0</v>
      </c>
      <c r="E132" s="1">
        <v>19.554708798863963</v>
      </c>
      <c r="F132" s="1">
        <v>1.9490659749113393</v>
      </c>
    </row>
    <row r="133" spans="1:6" x14ac:dyDescent="0.2">
      <c r="A133" s="2">
        <v>5</v>
      </c>
      <c r="B133" t="s">
        <v>2</v>
      </c>
      <c r="C133" t="s">
        <v>15</v>
      </c>
      <c r="D133" t="s">
        <v>0</v>
      </c>
      <c r="E133" s="1">
        <v>19.554708798863963</v>
      </c>
      <c r="F133" s="1">
        <v>1.9490659749113393</v>
      </c>
    </row>
    <row r="134" spans="1:6" x14ac:dyDescent="0.2">
      <c r="A134" s="2">
        <v>8</v>
      </c>
      <c r="B134" t="s">
        <v>13</v>
      </c>
      <c r="C134" t="s">
        <v>15</v>
      </c>
      <c r="D134" t="s">
        <v>0</v>
      </c>
      <c r="E134" s="1">
        <v>8.4054250398265467</v>
      </c>
      <c r="F134" s="1">
        <v>6.3057459342632072</v>
      </c>
    </row>
    <row r="135" spans="1:6" x14ac:dyDescent="0.2">
      <c r="A135" s="2">
        <v>8</v>
      </c>
      <c r="B135" t="s">
        <v>12</v>
      </c>
      <c r="C135" t="s">
        <v>15</v>
      </c>
      <c r="D135" t="s">
        <v>0</v>
      </c>
      <c r="E135" s="1">
        <v>12.14858131273137</v>
      </c>
      <c r="F135" s="1">
        <v>3.5255559540455881</v>
      </c>
    </row>
    <row r="136" spans="1:6" x14ac:dyDescent="0.2">
      <c r="A136" s="2">
        <v>8</v>
      </c>
      <c r="B136" t="s">
        <v>11</v>
      </c>
      <c r="C136" t="s">
        <v>15</v>
      </c>
      <c r="D136" t="s">
        <v>0</v>
      </c>
      <c r="E136" s="1">
        <v>11.57604898153437</v>
      </c>
      <c r="F136" s="1">
        <v>3.1949984904325825</v>
      </c>
    </row>
    <row r="137" spans="1:6" x14ac:dyDescent="0.2">
      <c r="A137" s="2">
        <v>8</v>
      </c>
      <c r="B137" t="s">
        <v>10</v>
      </c>
      <c r="C137" t="s">
        <v>15</v>
      </c>
      <c r="D137" t="s">
        <v>0</v>
      </c>
      <c r="E137" s="1">
        <v>11.57604898153437</v>
      </c>
      <c r="F137" s="1">
        <v>3.1949984904325825</v>
      </c>
    </row>
    <row r="138" spans="1:6" x14ac:dyDescent="0.2">
      <c r="A138" s="2">
        <v>8</v>
      </c>
      <c r="B138" t="s">
        <v>9</v>
      </c>
      <c r="C138" t="s">
        <v>15</v>
      </c>
      <c r="D138" t="s">
        <v>0</v>
      </c>
      <c r="E138" s="1">
        <v>11.57604898153437</v>
      </c>
      <c r="F138" s="1">
        <v>3.1949984904325825</v>
      </c>
    </row>
    <row r="139" spans="1:6" x14ac:dyDescent="0.2">
      <c r="A139" s="2">
        <v>8</v>
      </c>
      <c r="B139" t="s">
        <v>8</v>
      </c>
      <c r="C139" t="s">
        <v>15</v>
      </c>
      <c r="D139" t="s">
        <v>0</v>
      </c>
      <c r="E139" s="1">
        <v>11.57604898153437</v>
      </c>
      <c r="F139" s="1">
        <v>3.1949984904325825</v>
      </c>
    </row>
    <row r="140" spans="1:6" x14ac:dyDescent="0.2">
      <c r="A140" s="2">
        <v>8</v>
      </c>
      <c r="B140" t="s">
        <v>7</v>
      </c>
      <c r="C140" t="s">
        <v>15</v>
      </c>
      <c r="D140" t="s">
        <v>0</v>
      </c>
      <c r="E140" s="1">
        <v>11.57604898153437</v>
      </c>
      <c r="F140" s="1">
        <v>3.1949984904325825</v>
      </c>
    </row>
    <row r="141" spans="1:6" x14ac:dyDescent="0.2">
      <c r="A141" s="2">
        <v>8</v>
      </c>
      <c r="B141" s="3" t="s">
        <v>6</v>
      </c>
      <c r="C141" t="s">
        <v>15</v>
      </c>
      <c r="D141" t="s">
        <v>0</v>
      </c>
      <c r="E141" s="1">
        <v>11.57604898153437</v>
      </c>
      <c r="F141" s="1">
        <v>3.1949984904325825</v>
      </c>
    </row>
    <row r="142" spans="1:6" x14ac:dyDescent="0.2">
      <c r="A142" s="2">
        <v>8</v>
      </c>
      <c r="B142" t="s">
        <v>5</v>
      </c>
      <c r="C142" t="s">
        <v>15</v>
      </c>
      <c r="D142" t="s">
        <v>0</v>
      </c>
      <c r="E142" s="1">
        <v>19.554708798863963</v>
      </c>
      <c r="F142" s="1">
        <v>1.9490659749113393</v>
      </c>
    </row>
    <row r="143" spans="1:6" x14ac:dyDescent="0.2">
      <c r="A143">
        <v>8</v>
      </c>
      <c r="B143" t="s">
        <v>4</v>
      </c>
      <c r="C143" t="s">
        <v>15</v>
      </c>
      <c r="D143" t="s">
        <v>0</v>
      </c>
      <c r="E143" s="1">
        <v>19.554708798863963</v>
      </c>
      <c r="F143" s="1">
        <v>1.9490659749113393</v>
      </c>
    </row>
    <row r="144" spans="1:6" x14ac:dyDescent="0.2">
      <c r="A144">
        <v>8</v>
      </c>
      <c r="B144" t="s">
        <v>3</v>
      </c>
      <c r="C144" t="s">
        <v>15</v>
      </c>
      <c r="D144" t="s">
        <v>0</v>
      </c>
      <c r="E144" s="1">
        <v>19.554708798863963</v>
      </c>
      <c r="F144" s="1">
        <v>1.9490659749113393</v>
      </c>
    </row>
    <row r="145" spans="1:6" x14ac:dyDescent="0.2">
      <c r="A145">
        <v>8</v>
      </c>
      <c r="B145" t="s">
        <v>2</v>
      </c>
      <c r="C145" t="s">
        <v>15</v>
      </c>
      <c r="D145" t="s">
        <v>0</v>
      </c>
      <c r="E145" s="1">
        <v>19.554708798863963</v>
      </c>
      <c r="F145" s="1">
        <v>1.9490659749999999</v>
      </c>
    </row>
    <row r="146" spans="1:6" x14ac:dyDescent="0.2">
      <c r="A146" s="2">
        <v>5</v>
      </c>
      <c r="B146" t="s">
        <v>13</v>
      </c>
      <c r="C146" t="s">
        <v>14</v>
      </c>
      <c r="D146" t="s">
        <v>0</v>
      </c>
      <c r="E146" s="4">
        <v>8877.9243269091276</v>
      </c>
      <c r="F146" s="4">
        <v>2184.9934028793896</v>
      </c>
    </row>
    <row r="147" spans="1:6" x14ac:dyDescent="0.2">
      <c r="A147" s="2">
        <v>5</v>
      </c>
      <c r="B147" t="s">
        <v>12</v>
      </c>
      <c r="C147" t="s">
        <v>14</v>
      </c>
      <c r="D147" t="s">
        <v>0</v>
      </c>
      <c r="E147" s="4">
        <v>10242.83491175687</v>
      </c>
      <c r="F147" s="4">
        <v>1614.9094678774668</v>
      </c>
    </row>
    <row r="148" spans="1:6" x14ac:dyDescent="0.2">
      <c r="A148" s="2">
        <v>5</v>
      </c>
      <c r="B148" t="s">
        <v>11</v>
      </c>
      <c r="C148" t="s">
        <v>14</v>
      </c>
      <c r="D148" t="s">
        <v>0</v>
      </c>
      <c r="E148" s="4">
        <v>10238.570120942892</v>
      </c>
      <c r="F148" s="4">
        <v>1617.2396077361882</v>
      </c>
    </row>
    <row r="149" spans="1:6" x14ac:dyDescent="0.2">
      <c r="A149" s="2">
        <v>5</v>
      </c>
      <c r="B149" t="s">
        <v>10</v>
      </c>
      <c r="C149" t="s">
        <v>14</v>
      </c>
      <c r="D149" t="s">
        <v>0</v>
      </c>
      <c r="E149" s="4">
        <v>10245.16207945572</v>
      </c>
      <c r="F149" s="4">
        <v>1612.3551483235935</v>
      </c>
    </row>
    <row r="150" spans="1:6" x14ac:dyDescent="0.2">
      <c r="A150" s="2">
        <v>5</v>
      </c>
      <c r="B150" t="s">
        <v>9</v>
      </c>
      <c r="C150" t="s">
        <v>14</v>
      </c>
      <c r="D150" t="s">
        <v>0</v>
      </c>
      <c r="E150" s="4">
        <v>10339.13414473983</v>
      </c>
      <c r="F150" s="4">
        <v>1688.5981575670005</v>
      </c>
    </row>
    <row r="151" spans="1:6" x14ac:dyDescent="0.2">
      <c r="A151" s="2">
        <v>5</v>
      </c>
      <c r="B151" t="s">
        <v>8</v>
      </c>
      <c r="C151" t="s">
        <v>14</v>
      </c>
      <c r="D151" t="s">
        <v>0</v>
      </c>
      <c r="E151" s="4">
        <v>10339.020584064172</v>
      </c>
      <c r="F151" s="4">
        <v>1692.66419769412</v>
      </c>
    </row>
    <row r="152" spans="1:6" x14ac:dyDescent="0.2">
      <c r="A152" s="2">
        <v>5</v>
      </c>
      <c r="B152" t="s">
        <v>7</v>
      </c>
      <c r="C152" t="s">
        <v>14</v>
      </c>
      <c r="D152" t="s">
        <v>0</v>
      </c>
      <c r="E152" s="4">
        <v>10326.137705181332</v>
      </c>
      <c r="F152" s="4">
        <v>1694.4243730641294</v>
      </c>
    </row>
    <row r="153" spans="1:6" x14ac:dyDescent="0.2">
      <c r="A153" s="2">
        <v>5</v>
      </c>
      <c r="B153" s="3" t="s">
        <v>6</v>
      </c>
      <c r="C153" t="s">
        <v>14</v>
      </c>
      <c r="D153" t="s">
        <v>0</v>
      </c>
      <c r="E153" s="4">
        <v>10313.971932852324</v>
      </c>
      <c r="F153" s="4">
        <v>1695.9835946220428</v>
      </c>
    </row>
    <row r="154" spans="1:6" x14ac:dyDescent="0.2">
      <c r="A154" s="2">
        <v>5</v>
      </c>
      <c r="B154" t="s">
        <v>5</v>
      </c>
      <c r="C154" t="s">
        <v>14</v>
      </c>
      <c r="D154" t="s">
        <v>0</v>
      </c>
      <c r="E154" s="4">
        <v>24067.590672665454</v>
      </c>
      <c r="F154" s="4">
        <v>19.240645426346745</v>
      </c>
    </row>
    <row r="155" spans="1:6" x14ac:dyDescent="0.2">
      <c r="A155" s="2">
        <v>5</v>
      </c>
      <c r="B155" t="s">
        <v>4</v>
      </c>
      <c r="C155" t="s">
        <v>14</v>
      </c>
      <c r="D155" t="s">
        <v>0</v>
      </c>
      <c r="E155" s="4">
        <v>24068.548225144812</v>
      </c>
      <c r="F155" s="4">
        <v>19.211290841037414</v>
      </c>
    </row>
    <row r="156" spans="1:6" x14ac:dyDescent="0.2">
      <c r="A156" s="2">
        <v>5</v>
      </c>
      <c r="B156" t="s">
        <v>3</v>
      </c>
      <c r="C156" t="s">
        <v>14</v>
      </c>
      <c r="D156" t="s">
        <v>0</v>
      </c>
      <c r="E156" s="4">
        <v>24067.468138776774</v>
      </c>
      <c r="F156" s="4">
        <v>19.528370252828488</v>
      </c>
    </row>
    <row r="157" spans="1:6" x14ac:dyDescent="0.2">
      <c r="A157" s="2">
        <v>5</v>
      </c>
      <c r="B157" t="s">
        <v>2</v>
      </c>
      <c r="C157" t="s">
        <v>14</v>
      </c>
      <c r="D157" t="s">
        <v>0</v>
      </c>
      <c r="E157" s="4">
        <v>24074.957511843968</v>
      </c>
      <c r="F157" s="4">
        <v>20.223513638399581</v>
      </c>
    </row>
    <row r="158" spans="1:6" x14ac:dyDescent="0.2">
      <c r="A158" s="2">
        <v>8</v>
      </c>
      <c r="B158" t="s">
        <v>13</v>
      </c>
      <c r="C158" t="s">
        <v>14</v>
      </c>
      <c r="D158" t="s">
        <v>0</v>
      </c>
      <c r="E158" s="4">
        <v>24071.717903687349</v>
      </c>
      <c r="F158" s="4">
        <v>21.292128922926853</v>
      </c>
    </row>
    <row r="159" spans="1:6" x14ac:dyDescent="0.2">
      <c r="A159" s="2">
        <v>8</v>
      </c>
      <c r="B159" t="s">
        <v>12</v>
      </c>
      <c r="C159" t="s">
        <v>14</v>
      </c>
      <c r="D159" t="s">
        <v>0</v>
      </c>
      <c r="E159" s="4">
        <v>10235.858851099061</v>
      </c>
      <c r="F159" s="4">
        <v>1615.5946582555339</v>
      </c>
    </row>
    <row r="160" spans="1:6" x14ac:dyDescent="0.2">
      <c r="A160" s="2">
        <v>8</v>
      </c>
      <c r="B160" t="s">
        <v>11</v>
      </c>
      <c r="C160" t="s">
        <v>14</v>
      </c>
      <c r="D160" t="s">
        <v>0</v>
      </c>
      <c r="E160" s="4">
        <v>10232.024577182727</v>
      </c>
      <c r="F160" s="4">
        <v>1618.6145219147099</v>
      </c>
    </row>
    <row r="161" spans="1:6" x14ac:dyDescent="0.2">
      <c r="A161" s="2">
        <v>8</v>
      </c>
      <c r="B161" t="s">
        <v>10</v>
      </c>
      <c r="C161" t="s">
        <v>14</v>
      </c>
      <c r="D161" t="s">
        <v>0</v>
      </c>
      <c r="E161" s="4">
        <v>10238.110393771081</v>
      </c>
      <c r="F161" s="4">
        <v>1617.7686629876998</v>
      </c>
    </row>
    <row r="162" spans="1:6" x14ac:dyDescent="0.2">
      <c r="A162" s="2">
        <v>8</v>
      </c>
      <c r="B162" t="s">
        <v>9</v>
      </c>
      <c r="C162" t="s">
        <v>14</v>
      </c>
      <c r="D162" t="s">
        <v>0</v>
      </c>
      <c r="E162" s="4">
        <v>10249.665483796534</v>
      </c>
      <c r="F162" s="4">
        <v>1612.9286089576669</v>
      </c>
    </row>
    <row r="163" spans="1:6" x14ac:dyDescent="0.2">
      <c r="A163" s="2">
        <v>8</v>
      </c>
      <c r="B163" t="s">
        <v>8</v>
      </c>
      <c r="C163" t="s">
        <v>14</v>
      </c>
      <c r="D163" t="s">
        <v>0</v>
      </c>
      <c r="E163" s="4">
        <v>10338.588464663095</v>
      </c>
      <c r="F163" s="4">
        <v>1687.7085615847323</v>
      </c>
    </row>
    <row r="164" spans="1:6" x14ac:dyDescent="0.2">
      <c r="A164" s="2">
        <v>8</v>
      </c>
      <c r="B164" t="s">
        <v>7</v>
      </c>
      <c r="C164" t="s">
        <v>14</v>
      </c>
      <c r="D164" t="s">
        <v>0</v>
      </c>
      <c r="E164" s="4">
        <v>10326.057493379443</v>
      </c>
      <c r="F164" s="4">
        <v>1691.4495042917586</v>
      </c>
    </row>
    <row r="165" spans="1:6" x14ac:dyDescent="0.2">
      <c r="A165" s="2">
        <v>8</v>
      </c>
      <c r="B165" s="3" t="s">
        <v>6</v>
      </c>
      <c r="C165" t="s">
        <v>14</v>
      </c>
      <c r="D165" t="s">
        <v>0</v>
      </c>
      <c r="E165" s="4">
        <v>10327.62010801494</v>
      </c>
      <c r="F165" s="4">
        <v>1688.7746677655725</v>
      </c>
    </row>
    <row r="166" spans="1:6" x14ac:dyDescent="0.2">
      <c r="A166" s="2">
        <v>8</v>
      </c>
      <c r="B166" t="s">
        <v>5</v>
      </c>
      <c r="C166" t="s">
        <v>14</v>
      </c>
      <c r="D166" t="s">
        <v>0</v>
      </c>
      <c r="E166" s="4">
        <v>10337.256692530309</v>
      </c>
      <c r="F166" s="4">
        <v>1688.9548742114446</v>
      </c>
    </row>
    <row r="167" spans="1:6" x14ac:dyDescent="0.2">
      <c r="A167">
        <v>8</v>
      </c>
      <c r="B167" t="s">
        <v>4</v>
      </c>
      <c r="C167" t="s">
        <v>14</v>
      </c>
      <c r="D167" t="s">
        <v>0</v>
      </c>
      <c r="E167" s="4">
        <v>24072.294203404144</v>
      </c>
      <c r="F167" s="4">
        <v>21.03675962280365</v>
      </c>
    </row>
    <row r="168" spans="1:6" x14ac:dyDescent="0.2">
      <c r="A168">
        <v>8</v>
      </c>
      <c r="B168" t="s">
        <v>3</v>
      </c>
      <c r="C168" t="s">
        <v>14</v>
      </c>
      <c r="D168" t="s">
        <v>0</v>
      </c>
      <c r="E168" s="4">
        <v>24067.902589932932</v>
      </c>
      <c r="F168" s="4">
        <v>19.229808509264299</v>
      </c>
    </row>
    <row r="169" spans="1:6" x14ac:dyDescent="0.2">
      <c r="A169">
        <v>8</v>
      </c>
      <c r="B169" t="s">
        <v>2</v>
      </c>
      <c r="C169" t="s">
        <v>14</v>
      </c>
      <c r="D169" t="s">
        <v>0</v>
      </c>
      <c r="E169" s="4">
        <v>24065.597881881087</v>
      </c>
      <c r="F169" s="4">
        <v>18.790782611501388</v>
      </c>
    </row>
    <row r="170" spans="1:6" x14ac:dyDescent="0.2">
      <c r="A170" s="2">
        <v>5</v>
      </c>
      <c r="B170" t="s">
        <v>13</v>
      </c>
      <c r="C170" t="s">
        <v>1</v>
      </c>
      <c r="D170" t="s">
        <v>0</v>
      </c>
      <c r="E170" s="1">
        <v>6.3056320000000001</v>
      </c>
      <c r="F170" s="1">
        <v>-1.4962899999999999</v>
      </c>
    </row>
    <row r="171" spans="1:6" x14ac:dyDescent="0.2">
      <c r="A171" s="2">
        <v>5</v>
      </c>
      <c r="B171" t="s">
        <v>12</v>
      </c>
      <c r="C171" t="s">
        <v>1</v>
      </c>
      <c r="D171" t="s">
        <v>0</v>
      </c>
      <c r="E171" s="1">
        <v>9.7111590000000003</v>
      </c>
      <c r="F171" s="1">
        <v>-1.5907813</v>
      </c>
    </row>
    <row r="172" spans="1:6" x14ac:dyDescent="0.2">
      <c r="A172" s="2">
        <v>5</v>
      </c>
      <c r="B172" t="s">
        <v>11</v>
      </c>
      <c r="C172" t="s">
        <v>1</v>
      </c>
      <c r="D172" t="s">
        <v>0</v>
      </c>
      <c r="E172" s="1">
        <v>12.428753</v>
      </c>
      <c r="F172" s="1">
        <v>-0.67501502999999996</v>
      </c>
    </row>
    <row r="173" spans="1:6" x14ac:dyDescent="0.2">
      <c r="A173" s="2">
        <v>5</v>
      </c>
      <c r="B173" t="s">
        <v>10</v>
      </c>
      <c r="C173" t="s">
        <v>1</v>
      </c>
      <c r="D173" t="s">
        <v>0</v>
      </c>
      <c r="E173" s="1">
        <v>12.428753</v>
      </c>
      <c r="F173" s="1">
        <v>-0.67501502999999996</v>
      </c>
    </row>
    <row r="174" spans="1:6" x14ac:dyDescent="0.2">
      <c r="A174" s="2">
        <v>5</v>
      </c>
      <c r="B174" t="s">
        <v>9</v>
      </c>
      <c r="C174" t="s">
        <v>1</v>
      </c>
      <c r="D174" t="s">
        <v>0</v>
      </c>
      <c r="E174" s="1">
        <v>12.427</v>
      </c>
      <c r="F174" s="1">
        <v>-0.67525166000000003</v>
      </c>
    </row>
    <row r="175" spans="1:6" x14ac:dyDescent="0.2">
      <c r="A175" s="2">
        <v>5</v>
      </c>
      <c r="B175" t="s">
        <v>8</v>
      </c>
      <c r="C175" t="s">
        <v>1</v>
      </c>
      <c r="D175" t="s">
        <v>0</v>
      </c>
      <c r="E175" s="1">
        <v>12.427</v>
      </c>
      <c r="F175" s="1">
        <v>-0.67525166000000003</v>
      </c>
    </row>
    <row r="176" spans="1:6" x14ac:dyDescent="0.2">
      <c r="A176" s="2">
        <v>5</v>
      </c>
      <c r="B176" t="s">
        <v>7</v>
      </c>
      <c r="C176" t="s">
        <v>1</v>
      </c>
      <c r="D176" t="s">
        <v>0</v>
      </c>
      <c r="E176" s="1">
        <v>12.427</v>
      </c>
      <c r="F176" s="1">
        <v>-0.67525166000000003</v>
      </c>
    </row>
    <row r="177" spans="1:6" x14ac:dyDescent="0.2">
      <c r="A177" s="2">
        <v>5</v>
      </c>
      <c r="B177" s="3" t="s">
        <v>6</v>
      </c>
      <c r="C177" t="s">
        <v>1</v>
      </c>
      <c r="D177" t="s">
        <v>0</v>
      </c>
      <c r="E177" s="1">
        <v>12.427001000000001</v>
      </c>
      <c r="F177" s="1">
        <v>-0.67525159999999995</v>
      </c>
    </row>
    <row r="178" spans="1:6" x14ac:dyDescent="0.2">
      <c r="A178" s="2">
        <v>5</v>
      </c>
      <c r="B178" t="s">
        <v>5</v>
      </c>
      <c r="C178" t="s">
        <v>1</v>
      </c>
      <c r="D178" t="s">
        <v>0</v>
      </c>
      <c r="E178" s="1">
        <v>25.935694000000002</v>
      </c>
      <c r="F178" s="1">
        <v>-2.3486133999999999E-2</v>
      </c>
    </row>
    <row r="179" spans="1:6" x14ac:dyDescent="0.2">
      <c r="A179" s="2">
        <v>5</v>
      </c>
      <c r="B179" t="s">
        <v>4</v>
      </c>
      <c r="C179" t="s">
        <v>1</v>
      </c>
      <c r="D179" t="s">
        <v>0</v>
      </c>
      <c r="E179" s="1">
        <v>25.935694000000002</v>
      </c>
      <c r="F179" s="1">
        <v>-2.3486133999999999E-2</v>
      </c>
    </row>
    <row r="180" spans="1:6" x14ac:dyDescent="0.2">
      <c r="A180" s="2">
        <v>5</v>
      </c>
      <c r="B180" t="s">
        <v>3</v>
      </c>
      <c r="C180" t="s">
        <v>1</v>
      </c>
      <c r="D180" t="s">
        <v>0</v>
      </c>
      <c r="E180" s="1">
        <v>25.935694000000002</v>
      </c>
      <c r="F180" s="1">
        <v>-2.3486133999999999E-2</v>
      </c>
    </row>
    <row r="181" spans="1:6" x14ac:dyDescent="0.2">
      <c r="A181" s="2">
        <v>5</v>
      </c>
      <c r="B181" t="s">
        <v>2</v>
      </c>
      <c r="C181" t="s">
        <v>1</v>
      </c>
      <c r="D181" t="s">
        <v>0</v>
      </c>
      <c r="E181" s="1">
        <v>25.935694000000002</v>
      </c>
      <c r="F181" s="1">
        <v>-2.3486133999999999E-2</v>
      </c>
    </row>
    <row r="182" spans="1:6" x14ac:dyDescent="0.2">
      <c r="A182" s="2">
        <v>8</v>
      </c>
      <c r="B182" t="s">
        <v>13</v>
      </c>
      <c r="C182" t="s">
        <v>1</v>
      </c>
      <c r="D182" t="s">
        <v>0</v>
      </c>
      <c r="E182" s="1">
        <v>9.6679549999999992</v>
      </c>
      <c r="F182" s="1">
        <v>-1.5524648000000001</v>
      </c>
    </row>
    <row r="183" spans="1:6" x14ac:dyDescent="0.2">
      <c r="A183" s="2">
        <v>8</v>
      </c>
      <c r="B183" t="s">
        <v>12</v>
      </c>
      <c r="C183" t="s">
        <v>1</v>
      </c>
      <c r="D183" t="s">
        <v>0</v>
      </c>
      <c r="E183" s="1">
        <v>12.428753</v>
      </c>
      <c r="F183" s="1">
        <v>-0.67501502999999996</v>
      </c>
    </row>
    <row r="184" spans="1:6" x14ac:dyDescent="0.2">
      <c r="A184" s="2">
        <v>8</v>
      </c>
      <c r="B184" t="s">
        <v>11</v>
      </c>
      <c r="C184" t="s">
        <v>1</v>
      </c>
      <c r="D184" t="s">
        <v>0</v>
      </c>
      <c r="E184" s="1">
        <v>12.428753</v>
      </c>
      <c r="F184" s="1">
        <v>-0.67501502999999996</v>
      </c>
    </row>
    <row r="185" spans="1:6" x14ac:dyDescent="0.2">
      <c r="A185" s="2">
        <v>8</v>
      </c>
      <c r="B185" t="s">
        <v>10</v>
      </c>
      <c r="C185" t="s">
        <v>1</v>
      </c>
      <c r="D185" t="s">
        <v>0</v>
      </c>
      <c r="E185" s="1">
        <v>12.428753</v>
      </c>
      <c r="F185" s="1">
        <v>-0.67501502999999996</v>
      </c>
    </row>
    <row r="186" spans="1:6" x14ac:dyDescent="0.2">
      <c r="A186" s="2">
        <v>8</v>
      </c>
      <c r="B186" t="s">
        <v>9</v>
      </c>
      <c r="C186" t="s">
        <v>1</v>
      </c>
      <c r="D186" t="s">
        <v>0</v>
      </c>
      <c r="E186" s="1">
        <v>12.427</v>
      </c>
      <c r="F186" s="1">
        <v>-0.67525166000000003</v>
      </c>
    </row>
    <row r="187" spans="1:6" x14ac:dyDescent="0.2">
      <c r="A187" s="2">
        <v>8</v>
      </c>
      <c r="B187" t="s">
        <v>8</v>
      </c>
      <c r="C187" t="s">
        <v>1</v>
      </c>
      <c r="D187" t="s">
        <v>0</v>
      </c>
      <c r="E187" s="1">
        <v>12.427</v>
      </c>
      <c r="F187" s="1">
        <v>-0.67525166000000003</v>
      </c>
    </row>
    <row r="188" spans="1:6" x14ac:dyDescent="0.2">
      <c r="A188" s="2">
        <v>8</v>
      </c>
      <c r="B188" t="s">
        <v>7</v>
      </c>
      <c r="C188" t="s">
        <v>1</v>
      </c>
      <c r="D188" t="s">
        <v>0</v>
      </c>
      <c r="E188" s="1">
        <v>12.427001000000001</v>
      </c>
      <c r="F188" s="1">
        <v>-0.67525159999999995</v>
      </c>
    </row>
    <row r="189" spans="1:6" x14ac:dyDescent="0.2">
      <c r="A189" s="2">
        <v>8</v>
      </c>
      <c r="B189" s="3" t="s">
        <v>6</v>
      </c>
      <c r="C189" t="s">
        <v>1</v>
      </c>
      <c r="D189" t="s">
        <v>0</v>
      </c>
      <c r="E189" s="1">
        <v>12.427</v>
      </c>
      <c r="F189" s="1">
        <v>-0.67525166000000003</v>
      </c>
    </row>
    <row r="190" spans="1:6" x14ac:dyDescent="0.2">
      <c r="A190" s="2">
        <v>8</v>
      </c>
      <c r="B190" t="s">
        <v>5</v>
      </c>
      <c r="C190" t="s">
        <v>1</v>
      </c>
      <c r="D190" t="s">
        <v>0</v>
      </c>
      <c r="E190" s="1">
        <v>25.935694000000002</v>
      </c>
      <c r="F190" s="1">
        <v>-2.3486133999999999E-2</v>
      </c>
    </row>
    <row r="191" spans="1:6" x14ac:dyDescent="0.2">
      <c r="A191">
        <v>8</v>
      </c>
      <c r="B191" t="s">
        <v>4</v>
      </c>
      <c r="C191" t="s">
        <v>1</v>
      </c>
      <c r="D191" t="s">
        <v>0</v>
      </c>
      <c r="E191" s="1">
        <v>25.935694000000002</v>
      </c>
      <c r="F191" s="1">
        <v>-2.3486133999999999E-2</v>
      </c>
    </row>
    <row r="192" spans="1:6" x14ac:dyDescent="0.2">
      <c r="A192">
        <v>8</v>
      </c>
      <c r="B192" t="s">
        <v>3</v>
      </c>
      <c r="C192" t="s">
        <v>1</v>
      </c>
      <c r="D192" t="s">
        <v>0</v>
      </c>
      <c r="E192" s="1">
        <v>25.935694000000002</v>
      </c>
      <c r="F192" s="1">
        <v>-2.3486133999999999E-2</v>
      </c>
    </row>
    <row r="193" spans="1:6" x14ac:dyDescent="0.2">
      <c r="A193">
        <v>8</v>
      </c>
      <c r="B193" t="s">
        <v>2</v>
      </c>
      <c r="C193" t="s">
        <v>1</v>
      </c>
      <c r="D193" t="s">
        <v>0</v>
      </c>
      <c r="E193" s="1">
        <v>25.935694000000002</v>
      </c>
      <c r="F193" s="1">
        <v>-2.3486133999999999E-2</v>
      </c>
    </row>
  </sheetData>
  <autoFilter ref="A1:B193" xr:uid="{4EF65D4F-7A6F-FE43-A0C4-FB35EE4DC512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 Electricity 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Lordan-Perret  Rebecca</dc:creator>
  <cp:lastModifiedBy>Lordan-Perret  Rebecca</cp:lastModifiedBy>
  <dcterms:created xsi:type="dcterms:W3CDTF">2026-04-09T09:17:27Z</dcterms:created>
  <dcterms:modified xsi:type="dcterms:W3CDTF">2026-04-09T09:18:20Z</dcterms:modified>
</cp:coreProperties>
</file>